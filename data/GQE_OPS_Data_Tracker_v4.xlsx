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S Data Tracker" sheetId="1" state="visible" r:id="rId3"/>
    <sheet name="Instructions" sheetId="2" state="visible" r:id="rId4"/>
    <sheet name="Progress 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<sst xmlns="http://schemas.openxmlformats.org/spreadsheetml/2006/main" count="1089" uniqueCount="302">
  <si>
    <t xml:space="preserve">GREENWASHING QUANTIFICATION ENGINE — Operational Performance Data (India NIFTY 100)</t>
  </si>
  <si>
    <t xml:space="preserve">MSc Financial Technology Dissertation | University of Birmingham | Abhinav Srivastav</t>
  </si>
  <si>
    <t xml:space="preserve">COMPANY INFO</t>
  </si>
  <si>
    <t xml:space="preserve">IDENTIFIERS</t>
  </si>
  <si>
    <t xml:space="preserve">EMISSIONS (Million tCO2e)</t>
  </si>
  <si>
    <t xml:space="preserve">ENERGY</t>
  </si>
  <si>
    <t xml:space="preserve">RENEWABLES</t>
  </si>
  <si>
    <t xml:space="preserve">DIVERSITY</t>
  </si>
  <si>
    <t xml:space="preserve">CONTROVERSIES</t>
  </si>
  <si>
    <t xml:space="preserve">CALCULATED SCORES</t>
  </si>
  <si>
    <t xml:space="preserve">STATUS</t>
  </si>
  <si>
    <t xml:space="preserve">Company Name</t>
  </si>
  <si>
    <t xml:space="preserve">Sector</t>
  </si>
  <si>
    <t xml:space="preserve">NSE Ticker</t>
  </si>
  <si>
    <t xml:space="preserve">Year</t>
  </si>
  <si>
    <t xml:space="preserve">Scope 1
(M tCO2e)</t>
  </si>
  <si>
    <t xml:space="preserve">Scope 1+2
(M tCO2e)</t>
  </si>
  <si>
    <t xml:space="preserve">Total Energy
(M GJ)</t>
  </si>
  <si>
    <t xml:space="preserve">Renewable
Energy (M GJ)</t>
  </si>
  <si>
    <t xml:space="preserve">Renewable
%</t>
  </si>
  <si>
    <t xml:space="preserve">Women
Directors %</t>
  </si>
  <si>
    <t xml:space="preserve">Women
Employees %</t>
  </si>
  <si>
    <t xml:space="preserve">ESG
Controversies</t>
  </si>
  <si>
    <t xml:space="preserve">OPS Score
(0-1)</t>
  </si>
  <si>
    <t xml:space="preserve">Data
Completeness</t>
  </si>
  <si>
    <t xml:space="preserve">Status</t>
  </si>
  <si>
    <t xml:space="preserve">Reliance Industries</t>
  </si>
  <si>
    <t xml:space="preserve">Energy</t>
  </si>
  <si>
    <t xml:space="preserve">RELIANCE.NS</t>
  </si>
  <si>
    <t xml:space="preserve">FY 2022-23</t>
  </si>
  <si>
    <t xml:space="preserve">✓ Complete</t>
  </si>
  <si>
    <t xml:space="preserve">FY 2023-24</t>
  </si>
  <si>
    <t xml:space="preserve">TCS</t>
  </si>
  <si>
    <t xml:space="preserve">IT</t>
  </si>
  <si>
    <t xml:space="preserve">TCS.NS</t>
  </si>
  <si>
    <t xml:space="preserve">Infosys</t>
  </si>
  <si>
    <t xml:space="preserve">INFY.NS</t>
  </si>
  <si>
    <t xml:space="preserve">HDFC Bank</t>
  </si>
  <si>
    <t xml:space="preserve">Banking</t>
  </si>
  <si>
    <t xml:space="preserve">HDFCBANK.NS</t>
  </si>
  <si>
    <t xml:space="preserve">Wipro</t>
  </si>
  <si>
    <t xml:space="preserve">WIPRO.NS</t>
  </si>
  <si>
    <t xml:space="preserve">ITC</t>
  </si>
  <si>
    <t xml:space="preserve">FMCG</t>
  </si>
  <si>
    <t xml:space="preserve">ITC.NS</t>
  </si>
  <si>
    <t xml:space="preserve">HCL Technologies</t>
  </si>
  <si>
    <t xml:space="preserve">HCLTECH.NS</t>
  </si>
  <si>
    <t xml:space="preserve">ICICI Bank</t>
  </si>
  <si>
    <t xml:space="preserve">ICICIBANK.NS</t>
  </si>
  <si>
    <t xml:space="preserve">Asian Paints</t>
  </si>
  <si>
    <t xml:space="preserve">Consumer</t>
  </si>
  <si>
    <t xml:space="preserve">ASIANPAINT.NS</t>
  </si>
  <si>
    <t xml:space="preserve">Larsen &amp; Toubro</t>
  </si>
  <si>
    <t xml:space="preserve">Infra</t>
  </si>
  <si>
    <t xml:space="preserve">LT.NS</t>
  </si>
  <si>
    <t xml:space="preserve">Mahindra &amp; Mahindra</t>
  </si>
  <si>
    <t xml:space="preserve">Auto</t>
  </si>
  <si>
    <t xml:space="preserve">M&amp;M.NS</t>
  </si>
  <si>
    <t xml:space="preserve">Hindustan Unilever</t>
  </si>
  <si>
    <t xml:space="preserve">HINDUNILVR.NS</t>
  </si>
  <si>
    <t xml:space="preserve">Bajaj Finance</t>
  </si>
  <si>
    <t xml:space="preserve">FinServ</t>
  </si>
  <si>
    <t xml:space="preserve">BAJFINANCE.NS</t>
  </si>
  <si>
    <t xml:space="preserve">Nestle India</t>
  </si>
  <si>
    <t xml:space="preserve">NESTLEIND.NS</t>
  </si>
  <si>
    <t xml:space="preserve">Bharti Airtel</t>
  </si>
  <si>
    <t xml:space="preserve">Telecom</t>
  </si>
  <si>
    <t xml:space="preserve">BHARTIARTL.NS</t>
  </si>
  <si>
    <t xml:space="preserve">Kotak Mahindra Bank</t>
  </si>
  <si>
    <t xml:space="preserve">KOTAKBANK.NS</t>
  </si>
  <si>
    <t xml:space="preserve">Axis Bank</t>
  </si>
  <si>
    <t xml:space="preserve">AXISBANK.NS</t>
  </si>
  <si>
    <t xml:space="preserve">IDFC First Bank</t>
  </si>
  <si>
    <t xml:space="preserve">IDFCFIRSTB.NS</t>
  </si>
  <si>
    <t xml:space="preserve">Federal Bank</t>
  </si>
  <si>
    <t xml:space="preserve">FEDERALBNK.NS</t>
  </si>
  <si>
    <t xml:space="preserve">Bank of Baroda</t>
  </si>
  <si>
    <t xml:space="preserve">BANKBARODA.NS</t>
  </si>
  <si>
    <t xml:space="preserve">IndusInd Bank</t>
  </si>
  <si>
    <t xml:space="preserve">INDUSINDBK.NS</t>
  </si>
  <si>
    <t xml:space="preserve">SBI</t>
  </si>
  <si>
    <t xml:space="preserve">SBIN.NS</t>
  </si>
  <si>
    <t xml:space="preserve">Vedanta Limited</t>
  </si>
  <si>
    <t xml:space="preserve">Metals &amp; Mining</t>
  </si>
  <si>
    <t xml:space="preserve">VEDL.NS</t>
  </si>
  <si>
    <t xml:space="preserve">Hindalco Industries</t>
  </si>
  <si>
    <t xml:space="preserve">HINDALCO.NS</t>
  </si>
  <si>
    <t xml:space="preserve">UltraTech Cement</t>
  </si>
  <si>
    <t xml:space="preserve">Cement</t>
  </si>
  <si>
    <t xml:space="preserve">ULTRACEMCO.NS</t>
  </si>
  <si>
    <t xml:space="preserve">⚠ Women % imputed</t>
  </si>
  <si>
    <t xml:space="preserve">Shree Cement</t>
  </si>
  <si>
    <t xml:space="preserve">SHREECEM.NS</t>
  </si>
  <si>
    <t xml:space="preserve">Grasim Industries</t>
  </si>
  <si>
    <t xml:space="preserve">Diversified</t>
  </si>
  <si>
    <t xml:space="preserve">GRASIM.NS</t>
  </si>
  <si>
    <t xml:space="preserve">BPCL</t>
  </si>
  <si>
    <t xml:space="preserve">Oil &amp; Gas</t>
  </si>
  <si>
    <t xml:space="preserve">BPCL.NS</t>
  </si>
  <si>
    <t xml:space="preserve">Indian Oil Corporation</t>
  </si>
  <si>
    <t xml:space="preserve">IOC.NS</t>
  </si>
  <si>
    <t xml:space="preserve">ABB India</t>
  </si>
  <si>
    <t xml:space="preserve">Infrastructure</t>
  </si>
  <si>
    <t xml:space="preserve">ABB.NS</t>
  </si>
  <si>
    <t xml:space="preserve">⚠ Sector-imputed</t>
  </si>
  <si>
    <t xml:space="preserve">ACC</t>
  </si>
  <si>
    <t xml:space="preserve">ACC.NS</t>
  </si>
  <si>
    <t xml:space="preserve">Adani Enterprises</t>
  </si>
  <si>
    <t xml:space="preserve">ADANIENT.NS</t>
  </si>
  <si>
    <t xml:space="preserve">✓ CSV-extracted</t>
  </si>
  <si>
    <t xml:space="preserve">→ Carry-forward</t>
  </si>
  <si>
    <t xml:space="preserve">Adani Green</t>
  </si>
  <si>
    <t xml:space="preserve">ADANIGREEN.NS</t>
  </si>
  <si>
    <t xml:space="preserve">Adani Ports</t>
  </si>
  <si>
    <t xml:space="preserve">ADANIPORTS.NS</t>
  </si>
  <si>
    <t xml:space="preserve">Alkem Labs</t>
  </si>
  <si>
    <t xml:space="preserve">Pharma</t>
  </si>
  <si>
    <t xml:space="preserve">ALKEM.NS</t>
  </si>
  <si>
    <t xml:space="preserve">Ambuja Cements</t>
  </si>
  <si>
    <t xml:space="preserve">AMBUJACEM.NS</t>
  </si>
  <si>
    <t xml:space="preserve">Angel One</t>
  </si>
  <si>
    <t xml:space="preserve">Financial Services</t>
  </si>
  <si>
    <t xml:space="preserve">ANGELONE.NS</t>
  </si>
  <si>
    <t xml:space="preserve">Apollo Hospitals</t>
  </si>
  <si>
    <t xml:space="preserve">APOLLOHOSP.NS</t>
  </si>
  <si>
    <t xml:space="preserve">Ashok Leyland</t>
  </si>
  <si>
    <t xml:space="preserve">ASHOKLEY.NS</t>
  </si>
  <si>
    <t xml:space="preserve">Aurobindo Pharma</t>
  </si>
  <si>
    <t xml:space="preserve">AUROPHARMA.NS</t>
  </si>
  <si>
    <t xml:space="preserve">BSE Ltd</t>
  </si>
  <si>
    <t xml:space="preserve">BSE.NS</t>
  </si>
  <si>
    <t xml:space="preserve">Bajaj Auto</t>
  </si>
  <si>
    <t xml:space="preserve">BAJAJ-AUTO.NS</t>
  </si>
  <si>
    <t xml:space="preserve">Bajaj Finserv</t>
  </si>
  <si>
    <t xml:space="preserve">BAJAJFINSV.NS</t>
  </si>
  <si>
    <t xml:space="preserve">Biocon</t>
  </si>
  <si>
    <t xml:space="preserve">BIOCON.NS</t>
  </si>
  <si>
    <t xml:space="preserve">Bosch India</t>
  </si>
  <si>
    <t xml:space="preserve">BOSCHLTD.NS</t>
  </si>
  <si>
    <t xml:space="preserve">Britannia</t>
  </si>
  <si>
    <t xml:space="preserve">BRITANNIA.NS</t>
  </si>
  <si>
    <t xml:space="preserve">CDSL</t>
  </si>
  <si>
    <t xml:space="preserve">CDSL.NS</t>
  </si>
  <si>
    <t xml:space="preserve">Cholamandalam</t>
  </si>
  <si>
    <t xml:space="preserve">CHOLAFIN.NS</t>
  </si>
  <si>
    <t xml:space="preserve">Cipla</t>
  </si>
  <si>
    <t xml:space="preserve">CIPLA.NS</t>
  </si>
  <si>
    <t xml:space="preserve">Coal India</t>
  </si>
  <si>
    <t xml:space="preserve">COALINDIA.NS</t>
  </si>
  <si>
    <t xml:space="preserve">Coforge</t>
  </si>
  <si>
    <t xml:space="preserve">COFORGE.NS</t>
  </si>
  <si>
    <t xml:space="preserve">Colgate India</t>
  </si>
  <si>
    <t xml:space="preserve">COLPAL.NS</t>
  </si>
  <si>
    <t xml:space="preserve">Cummins India</t>
  </si>
  <si>
    <t xml:space="preserve">CUMMINSIND.NS</t>
  </si>
  <si>
    <t xml:space="preserve">Dabur</t>
  </si>
  <si>
    <t xml:space="preserve">DABUR.NS</t>
  </si>
  <si>
    <t xml:space="preserve">Divi's Labs</t>
  </si>
  <si>
    <t xml:space="preserve">DIVISLAB.NS</t>
  </si>
  <si>
    <t xml:space="preserve">Dr Reddy's</t>
  </si>
  <si>
    <t xml:space="preserve">DRREDDY.NS</t>
  </si>
  <si>
    <t xml:space="preserve">Eicher Motors</t>
  </si>
  <si>
    <t xml:space="preserve">EICHERMOT.NS</t>
  </si>
  <si>
    <t xml:space="preserve">Emami</t>
  </si>
  <si>
    <t xml:space="preserve">EMAMILTD.NS</t>
  </si>
  <si>
    <t xml:space="preserve">Escorts Kubota</t>
  </si>
  <si>
    <t xml:space="preserve">ESCORTS.NS</t>
  </si>
  <si>
    <t xml:space="preserve">Godrej Consumer</t>
  </si>
  <si>
    <t xml:space="preserve">GODREJCP.NS</t>
  </si>
  <si>
    <t xml:space="preserve">HDFC Life</t>
  </si>
  <si>
    <t xml:space="preserve">Insurance</t>
  </si>
  <si>
    <t xml:space="preserve">HDFCLIFE.NS</t>
  </si>
  <si>
    <t xml:space="preserve">Havells</t>
  </si>
  <si>
    <t xml:space="preserve">HAVELLS.NS</t>
  </si>
  <si>
    <t xml:space="preserve">Hero MotoCorp</t>
  </si>
  <si>
    <t xml:space="preserve">HEROMOTOCO.NS</t>
  </si>
  <si>
    <t xml:space="preserve">ICICI Lombard</t>
  </si>
  <si>
    <t xml:space="preserve">ICICIGI.NS</t>
  </si>
  <si>
    <t xml:space="preserve">Indus Towers</t>
  </si>
  <si>
    <t xml:space="preserve">INDUSTOWER.NS</t>
  </si>
  <si>
    <t xml:space="preserve">JSW Steel</t>
  </si>
  <si>
    <t xml:space="preserve">JSWSTEEL.NS</t>
  </si>
  <si>
    <t xml:space="preserve">Jindal Steel</t>
  </si>
  <si>
    <t xml:space="preserve">JINDALSTEL.NS</t>
  </si>
  <si>
    <t xml:space="preserve">LIC</t>
  </si>
  <si>
    <t xml:space="preserve">LICI.NS</t>
  </si>
  <si>
    <t xml:space="preserve">LTIMindtree</t>
  </si>
  <si>
    <t xml:space="preserve">LTIM.NS</t>
  </si>
  <si>
    <t xml:space="preserve">LTTS</t>
  </si>
  <si>
    <t xml:space="preserve">LTTS.NS</t>
  </si>
  <si>
    <t xml:space="preserve">Lupin</t>
  </si>
  <si>
    <t xml:space="preserve">LUPIN.NS</t>
  </si>
  <si>
    <t xml:space="preserve">Marico</t>
  </si>
  <si>
    <t xml:space="preserve">MARICO.NS</t>
  </si>
  <si>
    <t xml:space="preserve">Maruti Suzuki</t>
  </si>
  <si>
    <t xml:space="preserve">MARUTI.NS</t>
  </si>
  <si>
    <t xml:space="preserve">Mphasis</t>
  </si>
  <si>
    <t xml:space="preserve">MPHASIS.NS</t>
  </si>
  <si>
    <t xml:space="preserve">Muthoot Finance</t>
  </si>
  <si>
    <t xml:space="preserve">MUTHOOTFIN.NS</t>
  </si>
  <si>
    <t xml:space="preserve">NALCO</t>
  </si>
  <si>
    <t xml:space="preserve">NATIONALUM.NS</t>
  </si>
  <si>
    <t xml:space="preserve">NMDC</t>
  </si>
  <si>
    <t xml:space="preserve">NMDC.NS</t>
  </si>
  <si>
    <t xml:space="preserve">NTPC</t>
  </si>
  <si>
    <t xml:space="preserve">NTPC.NS</t>
  </si>
  <si>
    <t xml:space="preserve">ONGC</t>
  </si>
  <si>
    <t xml:space="preserve">ONGC.NS</t>
  </si>
  <si>
    <t xml:space="preserve">Oracle Financial</t>
  </si>
  <si>
    <t xml:space="preserve">OFSS.NS</t>
  </si>
  <si>
    <t xml:space="preserve">PNB</t>
  </si>
  <si>
    <t xml:space="preserve">PNB.NS</t>
  </si>
  <si>
    <t xml:space="preserve">Paytm</t>
  </si>
  <si>
    <t xml:space="preserve">PAYTM.NS</t>
  </si>
  <si>
    <t xml:space="preserve">Persistent Systems</t>
  </si>
  <si>
    <t xml:space="preserve">PERSISTENT.NS</t>
  </si>
  <si>
    <t xml:space="preserve">Pidilite</t>
  </si>
  <si>
    <t xml:space="preserve">PIDILITIND.NS</t>
  </si>
  <si>
    <t xml:space="preserve">PolicyBazaar</t>
  </si>
  <si>
    <t xml:space="preserve">POLICYBZR.NS</t>
  </si>
  <si>
    <t xml:space="preserve">Power Grid</t>
  </si>
  <si>
    <t xml:space="preserve">POWERGRID.NS</t>
  </si>
  <si>
    <t xml:space="preserve">SAIL</t>
  </si>
  <si>
    <t xml:space="preserve">SAIL.NS</t>
  </si>
  <si>
    <t xml:space="preserve">SBI Life</t>
  </si>
  <si>
    <t xml:space="preserve">SBILIFE.NS</t>
  </si>
  <si>
    <t xml:space="preserve">Shriram Finance</t>
  </si>
  <si>
    <t xml:space="preserve">SHRIRAMFIN.NS</t>
  </si>
  <si>
    <t xml:space="preserve">Siemens India</t>
  </si>
  <si>
    <t xml:space="preserve">SIEMENS.NS</t>
  </si>
  <si>
    <t xml:space="preserve">Sun Pharma</t>
  </si>
  <si>
    <t xml:space="preserve">SUNPHARMA.NS</t>
  </si>
  <si>
    <t xml:space="preserve">TVS Motor</t>
  </si>
  <si>
    <t xml:space="preserve">TVSMOTORS.NS</t>
  </si>
  <si>
    <t xml:space="preserve">Tata Consumer</t>
  </si>
  <si>
    <t xml:space="preserve">TATACONSUM.NS</t>
  </si>
  <si>
    <t xml:space="preserve">Tata Power</t>
  </si>
  <si>
    <t xml:space="preserve">TATAPOWER.NS</t>
  </si>
  <si>
    <t xml:space="preserve">Tata Steel</t>
  </si>
  <si>
    <t xml:space="preserve">TATASTEEL.NS</t>
  </si>
  <si>
    <t xml:space="preserve">Tech Mahindra</t>
  </si>
  <si>
    <t xml:space="preserve">TECHM.NS</t>
  </si>
  <si>
    <t xml:space="preserve">Titan</t>
  </si>
  <si>
    <t xml:space="preserve">TITAN.NS</t>
  </si>
  <si>
    <t xml:space="preserve">Torrent Pharma</t>
  </si>
  <si>
    <t xml:space="preserve">TORNTPHARM.NS</t>
  </si>
  <si>
    <t xml:space="preserve">Vodafone Idea</t>
  </si>
  <si>
    <t xml:space="preserve">IDEA.NS</t>
  </si>
  <si>
    <t xml:space="preserve">Tata Motors</t>
  </si>
  <si>
    <t xml:space="preserve">TATAMOTORS.NS</t>
  </si>
  <si>
    <t xml:space="preserve">✓ Verified (CV boundary)</t>
  </si>
  <si>
    <t xml:space="preserve">White</t>
  </si>
  <si>
    <t xml:space="preserve">Directly extracted from company BRSR/AR via automated pipeline, ratio-checked</t>
  </si>
  <si>
    <t xml:space="preserve">✎ Scale-corrected</t>
  </si>
  <si>
    <t xml:space="preserve">Light blue</t>
  </si>
  <si>
    <t xml:space="preserve">Value present but unit/scale error fixed (e.g. Scope1 in millions rescaled)</t>
  </si>
  <si>
    <t xml:space="preserve">BOUNDARY NOTE — Tata Motors:</t>
  </si>
  <si>
    <t xml:space="preserve">Light green</t>
  </si>
  <si>
    <t xml:space="preserve">Figures cover Tata Motors Ltd standalone (Commercial Vehicle business) per SEBI BRSR FY23-24, KPMG reasonable-assured. Excludes JLR and passenger-vehicle entities (TMPVL/TPEML) following demerger. LPS must be computed from the same CV BRSR text for boundary consistency.</t>
  </si>
  <si>
    <t xml:space="preserve">Light yellow</t>
  </si>
  <si>
    <t xml:space="preserve">Field absent; imputed from sector-median (Scope1+2 median or energy=Scope1+2×sector GJ/tCO2e ratio)</t>
  </si>
  <si>
    <t xml:space="preserve">HOW TO USE THIS TRACKER</t>
  </si>
  <si>
    <t xml:space="preserve">PURPOSE</t>
  </si>
  <si>
    <t xml:space="preserve">Record operational ESG data for 50 companies across FY 2022-23 and FY 2023-24. This data builds your Operational Performance Score (OPS) for the GDS formula.</t>
  </si>
  <si>
    <t xml:space="preserve">YELLOW CELLS</t>
  </si>
  <si>
    <t xml:space="preserve">Every yellow cell needs a value from the company's BRSR report. Upload the BRSR PDF to Claude and it will extract the numbers for you.</t>
  </si>
  <si>
    <t xml:space="preserve">STATUS COLUMN</t>
  </si>
  <si>
    <t xml:space="preserve">Shows Done (green) when data is entered, or Upload PDF (amber) when still empty.</t>
  </si>
  <si>
    <t xml:space="preserve">WHERE TO FIND DATA</t>
  </si>
  <si>
    <t xml:space="preserve">1. Go to bseindia.com  2. Search company name  3. Financials &gt; Annual Report  4. Download BRSR PDF  5. Upload to Claude</t>
  </si>
  <si>
    <t xml:space="preserve">SCOPE 1</t>
  </si>
  <si>
    <t xml:space="preserve">Direct GHG emissions from company operations. Unit: Million tonnes CO2e. Found in Environmental section of BRSR.</t>
  </si>
  <si>
    <t xml:space="preserve">SCOPE 1+2</t>
  </si>
  <si>
    <t xml:space="preserve">Scope 1 plus indirect emissions from purchased electricity. Unit: Million tonnes CO2e. The main emissions figure to use.</t>
  </si>
  <si>
    <t xml:space="preserve">TOTAL ENERGY</t>
  </si>
  <si>
    <t xml:space="preserve">All energy consumed (electricity + fuel + steam). Unit: Million GJ. Found in Energy section.</t>
  </si>
  <si>
    <t xml:space="preserve">RENEWABLE ENERGY</t>
  </si>
  <si>
    <t xml:space="preserve">Energy from solar, wind, hydro sources. Unit: Million GJ. Found alongside Total Energy.</t>
  </si>
  <si>
    <t xml:space="preserve">RENEWABLE %</t>
  </si>
  <si>
    <t xml:space="preserve">Renewable Energy / Total Energy x 100. Enter as a plain number e.g. 1.35 (not 1.35%).</t>
  </si>
  <si>
    <t xml:space="preserve">WOMEN DIRECTORS %</t>
  </si>
  <si>
    <t xml:space="preserve">Number of women on Board / Total Board members x 100. Found in Board Composition table.</t>
  </si>
  <si>
    <t xml:space="preserve">WOMEN EMPLOYEES %</t>
  </si>
  <si>
    <t xml:space="preserve">% of total employees who are female. Found in Workforce section of BRSR.</t>
  </si>
  <si>
    <t xml:space="preserve">Number of major ESG incidents, regulatory penalties, or fines. 0 = none. Found in Principle 1 section.</t>
  </si>
  <si>
    <t xml:space="preserve">OPS SCORE</t>
  </si>
  <si>
    <t xml:space="preserve">Auto-calculated. Shows data completeness as a proxy until full OPS is computed in Python.</t>
  </si>
  <si>
    <t xml:space="preserve">PRIORITY ORDER</t>
  </si>
  <si>
    <t xml:space="preserve">Batch 1: TCS, Infosys, HDFC Bank, ITC, Wipro, M&amp;M, L&amp;T, Asian Paints, ICICI Bank, HCL Tech</t>
  </si>
  <si>
    <t xml:space="preserve">DATA COLLECTION PROGRESS DASHBOARD</t>
  </si>
  <si>
    <t xml:space="preserve">Metric</t>
  </si>
  <si>
    <t xml:space="preserve">Total companies in tracker</t>
  </si>
  <si>
    <t xml:space="preserve">13 done</t>
  </si>
  <si>
    <t xml:space="preserve">✓ All complete</t>
  </si>
  <si>
    <t xml:space="preserve">Remaining to collect</t>
  </si>
  <si>
    <t xml:space="preserve">37</t>
  </si>
  <si>
    <t xml:space="preserve">Days remaining (dissertation)</t>
  </si>
  <si>
    <t xml:space="preserve">26</t>
  </si>
  <si>
    <t xml:space="preserve">Target: companies/day</t>
  </si>
  <si>
    <t xml:space="preserve">~4</t>
  </si>
  <si>
    <t xml:space="preserve">Estimated hours needed</t>
  </si>
  <si>
    <t xml:space="preserve">~5 hrs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</si>
</sst>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"/>
    <numFmt numFmtId="167" formatCode="0.0%"/>
    <numFmt numFmtId="168" formatCode="0"/>
    <numFmt numFmtId="169" formatCode="0%"/>
    <numFmt numFmtId="170" formatCode="0.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B5D4F4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0C447C"/>
      <name val="Arial"/>
      <family val="0"/>
      <charset val="1"/>
    </font>
    <font>
      <b val="true"/>
      <sz val="9"/>
      <color rgb="FF27500A"/>
      <name val="Arial"/>
      <family val="0"/>
      <charset val="1"/>
    </font>
    <font>
      <sz val="10"/>
      <name val="Arial"/>
      <family val="0"/>
      <charset val="1"/>
    </font>
    <font>
      <sz val="9"/>
      <color rgb="FF633806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30">
    <fill>
      <patternFill patternType="none"/>
    </fill>
    <fill>
      <patternFill patternType="gray125"/>
    </fill>
    <fill>
      <patternFill patternType="solid">
        <fgColor rgb="FF0C447C"/>
        <bgColor rgb="FF185FA5"/>
      </patternFill>
    </fill>
    <fill>
      <patternFill patternType="solid">
        <fgColor rgb="FF185FA5"/>
        <bgColor rgb="FF0C447C"/>
      </patternFill>
    </fill>
    <fill>
      <patternFill patternType="solid">
        <fgColor rgb="FF1E6B3C"/>
        <bgColor rgb="FF27500A"/>
      </patternFill>
    </fill>
    <fill>
      <patternFill patternType="solid">
        <fgColor rgb="FF534AB7"/>
        <bgColor rgb="FF5F5E5A"/>
      </patternFill>
    </fill>
    <fill>
      <patternFill patternType="solid">
        <fgColor rgb="FF791F1F"/>
        <bgColor rgb="FF633806"/>
      </patternFill>
    </fill>
    <fill>
      <patternFill patternType="solid">
        <fgColor rgb="FF5F5E5A"/>
        <bgColor rgb="FF534AB7"/>
      </patternFill>
    </fill>
    <fill>
      <patternFill patternType="solid">
        <fgColor rgb="FF2C2C2C"/>
        <bgColor rgb="FF1A1A1A"/>
      </patternFill>
    </fill>
    <fill>
      <patternFill patternType="solid">
        <fgColor rgb="FFFFF8E6"/>
        <bgColor rgb="FFF9FBE7"/>
      </patternFill>
    </fill>
    <fill>
      <patternFill patternType="solid">
        <fgColor rgb="FFFFF9C4"/>
        <bgColor rgb="FFFFF2CC"/>
      </patternFill>
    </fill>
    <fill>
      <patternFill patternType="solid">
        <fgColor rgb="FFE6F1FB"/>
        <bgColor rgb="FFE3F2FD"/>
      </patternFill>
    </fill>
    <fill>
      <patternFill patternType="solid">
        <fgColor rgb="FFEAF3DE"/>
        <bgColor rgb="FFE8F5E9"/>
      </patternFill>
    </fill>
    <fill>
      <patternFill patternType="solid">
        <fgColor rgb="FFE8F5E9"/>
        <bgColor rgb="FFEAF3DE"/>
      </patternFill>
    </fill>
    <fill>
      <patternFill patternType="solid">
        <fgColor rgb="FFE3F2FD"/>
        <bgColor rgb="FFE6F1FB"/>
      </patternFill>
    </fill>
    <fill>
      <patternFill patternType="solid">
        <fgColor rgb="FFFBE9E7"/>
        <bgColor rgb="FFFCE4EC"/>
      </patternFill>
    </fill>
    <fill>
      <patternFill patternType="solid">
        <fgColor rgb="FFFCE4EC"/>
        <bgColor rgb="FFFBE9E7"/>
      </patternFill>
    </fill>
    <fill>
      <patternFill patternType="solid">
        <fgColor rgb="FFF9FBE7"/>
        <bgColor rgb="FFFFF8E6"/>
      </patternFill>
    </fill>
    <fill>
      <patternFill patternType="solid">
        <fgColor rgb="FFF3E5F5"/>
        <bgColor rgb="FFEDE7F6"/>
      </patternFill>
    </fill>
    <fill>
      <patternFill patternType="solid">
        <fgColor rgb="FFEDE7F6"/>
        <bgColor rgb="FFE8EAF6"/>
      </patternFill>
    </fill>
    <fill>
      <patternFill patternType="solid">
        <fgColor rgb="FFE8EAF6"/>
        <bgColor rgb="FFEDE7F6"/>
      </patternFill>
    </fill>
    <fill>
      <patternFill patternType="solid">
        <fgColor rgb="FFFAEEDA"/>
        <bgColor rgb="FFFBE9E7"/>
      </patternFill>
    </fill>
    <fill>
      <patternFill patternType="solid">
        <fgColor rgb="FFE0F7FA"/>
        <bgColor rgb="FFE3F2FD"/>
      </patternFill>
    </fill>
    <fill>
      <patternFill patternType="solid">
        <fgColor rgb="FFFFFFE0"/>
        <bgColor rgb="FFF9FBE7"/>
      </patternFill>
    </fill>
    <fill>
      <patternFill patternType="solid">
        <fgColor rgb="FFEFEBE9"/>
        <bgColor rgb="FFF1EFE8"/>
      </patternFill>
    </fill>
    <fill>
      <patternFill patternType="solid">
        <fgColor rgb="FFFFF2CC"/>
        <bgColor rgb="FFFFF9C4"/>
      </patternFill>
    </fill>
    <fill>
      <patternFill patternType="solid">
        <fgColor rgb="FFE2F0D9"/>
        <bgColor rgb="FFEAF3DE"/>
      </patternFill>
    </fill>
    <fill>
      <patternFill patternType="solid">
        <fgColor rgb="FFD6E4FF"/>
        <bgColor rgb="FFE8EAF6"/>
      </patternFill>
    </fill>
    <fill>
      <patternFill patternType="solid">
        <fgColor rgb="FFF1EFE8"/>
        <bgColor rgb="FFEFEBE9"/>
      </patternFill>
    </fill>
    <fill>
      <patternFill patternType="solid">
        <fgColor rgb="FFFFFFFF"/>
        <bgColor rgb="FFF9FB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2A9"/>
      </left>
      <right style="thin">
        <color rgb="FFB4B2A9"/>
      </right>
      <top style="thin">
        <color rgb="FFB4B2A9"/>
      </top>
      <bottom style="thin">
        <color rgb="FFB4B2A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1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2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AEEDA"/>
      <rgbColor rgb="FFFF00FF"/>
      <rgbColor rgb="FFF9FBE7"/>
      <rgbColor rgb="FF800000"/>
      <rgbColor rgb="FF1E6B3C"/>
      <rgbColor rgb="FF000080"/>
      <rgbColor rgb="FF808000"/>
      <rgbColor rgb="FF800080"/>
      <rgbColor rgb="FF008080"/>
      <rgbColor rgb="FFB4B2A9"/>
      <rgbColor rgb="FFFFF8E6"/>
      <rgbColor rgb="FFE8EAF6"/>
      <rgbColor rgb="FF633806"/>
      <rgbColor rgb="FFFFF9C4"/>
      <rgbColor rgb="FFE0F7FA"/>
      <rgbColor rgb="FF660066"/>
      <rgbColor rgb="FFF1EFE8"/>
      <rgbColor rgb="FF185FA5"/>
      <rgbColor rgb="FFB5D4F4"/>
      <rgbColor rgb="FF000080"/>
      <rgbColor rgb="FFFF00FF"/>
      <rgbColor rgb="FFFFFFE0"/>
      <rgbColor rgb="FF00FFFF"/>
      <rgbColor rgb="FF800080"/>
      <rgbColor rgb="FF800000"/>
      <rgbColor rgb="FF008080"/>
      <rgbColor rgb="FF0000FF"/>
      <rgbColor rgb="FF00CCFF"/>
      <rgbColor rgb="FFE3F2FD"/>
      <rgbColor rgb="FFE2F0D9"/>
      <rgbColor rgb="FFFFF2CC"/>
      <rgbColor rgb="FFD6E4FF"/>
      <rgbColor rgb="FFF3E5F5"/>
      <rgbColor rgb="FFEDE7F6"/>
      <rgbColor rgb="FFFCE4EC"/>
      <rgbColor rgb="FF3366FF"/>
      <rgbColor rgb="FFE6F1FB"/>
      <rgbColor rgb="FFEAF3DE"/>
      <rgbColor rgb="FFFBE9E7"/>
      <rgbColor rgb="FFE8F5E9"/>
      <rgbColor rgb="FFFF6600"/>
      <rgbColor rgb="FF5F5E5A"/>
      <rgbColor rgb="FFEFEBE9"/>
      <rgbColor rgb="FF0C447C"/>
      <rgbColor rgb="FF339966"/>
      <rgbColor rgb="FF1A1A1A"/>
      <rgbColor rgb="FF27500A"/>
      <rgbColor rgb="FF791F1F"/>
      <rgbColor rgb="FF993366"/>
      <rgbColor rgb="FF534AB7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8"/>
    <col collapsed="false" customWidth="true" hidden="false" outlineLevel="0" max="6" min="5" style="1" width="12"/>
    <col collapsed="false" customWidth="true" hidden="false" outlineLevel="0" max="8" min="7" style="1" width="13"/>
    <col collapsed="false" customWidth="true" hidden="false" outlineLevel="0" max="9" min="9" style="1" width="9"/>
    <col collapsed="false" customWidth="true" hidden="false" outlineLevel="0" max="14" min="10" style="1" width="12"/>
    <col collapsed="false" customWidth="true" hidden="false" outlineLevel="0" max="15" min="15" style="1" width="1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6" hidden="false" customHeight="true" outlineLevel="0" collapsed="false"/>
    <row r="4" customFormat="false" ht="19.5" hidden="false" customHeight="true" outlineLevel="0" collapsed="false">
      <c r="A4" s="4" t="s">
        <v>2</v>
      </c>
      <c r="B4" s="4"/>
      <c r="C4" s="4" t="s">
        <v>3</v>
      </c>
      <c r="D4" s="4"/>
      <c r="E4" s="5" t="s">
        <v>4</v>
      </c>
      <c r="F4" s="5"/>
      <c r="G4" s="5" t="s">
        <v>5</v>
      </c>
      <c r="H4" s="5"/>
      <c r="I4" s="6" t="s">
        <v>6</v>
      </c>
      <c r="J4" s="7" t="s">
        <v>7</v>
      </c>
      <c r="K4" s="7"/>
      <c r="L4" s="8" t="s">
        <v>8</v>
      </c>
      <c r="M4" s="9" t="s">
        <v>9</v>
      </c>
      <c r="N4" s="9"/>
      <c r="O4" s="10" t="s">
        <v>10</v>
      </c>
    </row>
    <row r="5" customFormat="false" ht="36" hidden="false" customHeight="true" outlineLevel="0" collapsed="false">
      <c r="A5" s="11" t="s">
        <v>11</v>
      </c>
      <c r="B5" s="11" t="s">
        <v>12</v>
      </c>
      <c r="C5" s="11" t="s">
        <v>13</v>
      </c>
      <c r="D5" s="11" t="s">
        <v>14</v>
      </c>
      <c r="E5" s="11" t="s">
        <v>15</v>
      </c>
      <c r="F5" s="11" t="s">
        <v>16</v>
      </c>
      <c r="G5" s="11" t="s">
        <v>17</v>
      </c>
      <c r="H5" s="11" t="s">
        <v>18</v>
      </c>
      <c r="I5" s="11" t="s">
        <v>19</v>
      </c>
      <c r="J5" s="11" t="s">
        <v>20</v>
      </c>
      <c r="K5" s="11" t="s">
        <v>21</v>
      </c>
      <c r="L5" s="11" t="s">
        <v>22</v>
      </c>
      <c r="M5" s="11" t="s">
        <v>23</v>
      </c>
      <c r="N5" s="11" t="s">
        <v>24</v>
      </c>
      <c r="O5" s="11" t="s">
        <v>25</v>
      </c>
    </row>
    <row r="6" customFormat="false" ht="15.75" hidden="false" customHeight="true" outlineLevel="0" collapsed="false">
      <c r="A6" s="12" t="s">
        <v>26</v>
      </c>
      <c r="B6" s="12" t="s">
        <v>27</v>
      </c>
      <c r="C6" s="13" t="s">
        <v>28</v>
      </c>
      <c r="D6" s="13" t="s">
        <v>29</v>
      </c>
      <c r="E6" s="14" t="n">
        <v>480000</v>
      </c>
      <c r="F6" s="14" t="n">
        <v>3870000</v>
      </c>
      <c r="G6" s="15" t="n">
        <v>506.18</v>
      </c>
      <c r="H6" s="15" t="n">
        <v>6.73</v>
      </c>
      <c r="I6" s="16" t="n">
        <v>0.0133</v>
      </c>
      <c r="J6" s="16" t="n">
        <v>0.07</v>
      </c>
      <c r="K6" s="17"/>
      <c r="L6" s="18" t="n">
        <v>0</v>
      </c>
      <c r="M6" s="19" t="n">
        <f aca="false">IFERROR(ROUND(COUNTA(E6:L6)/8,2),0)</f>
        <v>0.88</v>
      </c>
      <c r="N6" s="20" t="str">
        <f aca="false">COUNTA(E6:L6)&amp;"/8 fields"</f>
        <v>7/8 fields</v>
      </c>
      <c r="O6" s="21" t="s">
        <v>30</v>
      </c>
    </row>
    <row r="7" customFormat="false" ht="15.75" hidden="false" customHeight="true" outlineLevel="0" collapsed="false">
      <c r="A7" s="12" t="s">
        <v>26</v>
      </c>
      <c r="B7" s="12" t="s">
        <v>27</v>
      </c>
      <c r="C7" s="13" t="s">
        <v>28</v>
      </c>
      <c r="D7" s="13" t="s">
        <v>31</v>
      </c>
      <c r="E7" s="14" t="n">
        <v>460000</v>
      </c>
      <c r="F7" s="14" t="n">
        <v>4660000</v>
      </c>
      <c r="G7" s="15" t="n">
        <v>506.18</v>
      </c>
      <c r="H7" s="15" t="n">
        <v>6.85</v>
      </c>
      <c r="I7" s="16" t="n">
        <v>0.0135</v>
      </c>
      <c r="J7" s="16" t="n">
        <v>0.07</v>
      </c>
      <c r="K7" s="16" t="n">
        <v>0.214</v>
      </c>
      <c r="L7" s="18" t="n">
        <v>0</v>
      </c>
      <c r="M7" s="19" t="n">
        <f aca="false">IFERROR(ROUND(COUNTA(E7:L7)/8,2),0)</f>
        <v>1</v>
      </c>
      <c r="N7" s="20" t="str">
        <f aca="false">COUNTA(E7:L7)&amp;"/8 fields"</f>
        <v>8/8 fields</v>
      </c>
      <c r="O7" s="21" t="s">
        <v>30</v>
      </c>
    </row>
    <row r="8" customFormat="false" ht="15.75" hidden="false" customHeight="true" outlineLevel="0" collapsed="false">
      <c r="A8" s="22" t="s">
        <v>32</v>
      </c>
      <c r="B8" s="22" t="s">
        <v>33</v>
      </c>
      <c r="C8" s="23" t="s">
        <v>34</v>
      </c>
      <c r="D8" s="23" t="s">
        <v>29</v>
      </c>
      <c r="E8" s="24" t="n">
        <v>20972</v>
      </c>
      <c r="F8" s="24" t="n">
        <v>138237</v>
      </c>
      <c r="G8" s="25" t="n">
        <v>1317.6</v>
      </c>
      <c r="H8" s="25" t="n">
        <v>727.3152</v>
      </c>
      <c r="I8" s="26" t="n">
        <v>0.552</v>
      </c>
      <c r="J8" s="26" t="n">
        <v>0.11</v>
      </c>
      <c r="K8" s="17"/>
      <c r="L8" s="27" t="n">
        <v>0</v>
      </c>
      <c r="M8" s="19" t="n">
        <f aca="false">IFERROR(ROUND(COUNTA(E8:L8)/8,2),0)</f>
        <v>0.88</v>
      </c>
      <c r="N8" s="20" t="str">
        <f aca="false">COUNTA(E8:L8)&amp;"/8 fields"</f>
        <v>7/8 fields</v>
      </c>
      <c r="O8" s="21" t="s">
        <v>30</v>
      </c>
    </row>
    <row r="9" customFormat="false" ht="15.75" hidden="false" customHeight="true" outlineLevel="0" collapsed="false">
      <c r="A9" s="22" t="s">
        <v>32</v>
      </c>
      <c r="B9" s="22" t="s">
        <v>33</v>
      </c>
      <c r="C9" s="23" t="s">
        <v>34</v>
      </c>
      <c r="D9" s="23" t="s">
        <v>31</v>
      </c>
      <c r="E9" s="24" t="n">
        <v>21949</v>
      </c>
      <c r="F9" s="24" t="n">
        <v>95671</v>
      </c>
      <c r="G9" s="25" t="n">
        <v>1504.8</v>
      </c>
      <c r="H9" s="25" t="n">
        <v>1113.552</v>
      </c>
      <c r="I9" s="26" t="n">
        <v>0.74</v>
      </c>
      <c r="J9" s="26" t="n">
        <v>0.11</v>
      </c>
      <c r="K9" s="17"/>
      <c r="L9" s="27" t="n">
        <v>0</v>
      </c>
      <c r="M9" s="19" t="n">
        <f aca="false">IFERROR(ROUND(COUNTA(E9:L9)/8,2),0)</f>
        <v>0.88</v>
      </c>
      <c r="N9" s="20" t="str">
        <f aca="false">COUNTA(E9:L9)&amp;"/8 fields"</f>
        <v>7/8 fields</v>
      </c>
      <c r="O9" s="21" t="s">
        <v>30</v>
      </c>
    </row>
    <row r="10" customFormat="false" ht="15.75" hidden="false" customHeight="true" outlineLevel="0" collapsed="false">
      <c r="A10" s="22" t="s">
        <v>35</v>
      </c>
      <c r="B10" s="22" t="s">
        <v>33</v>
      </c>
      <c r="C10" s="23" t="s">
        <v>36</v>
      </c>
      <c r="D10" s="23" t="s">
        <v>29</v>
      </c>
      <c r="E10" s="24" t="n">
        <v>8593</v>
      </c>
      <c r="F10" s="24" t="n">
        <v>70945</v>
      </c>
      <c r="G10" s="25" t="n">
        <v>650.476</v>
      </c>
      <c r="H10" s="25" t="n">
        <v>359.644</v>
      </c>
      <c r="I10" s="26" t="n">
        <v>0.553</v>
      </c>
      <c r="J10" s="26" t="n">
        <v>0.11</v>
      </c>
      <c r="K10" s="26" t="n">
        <v>0.39</v>
      </c>
      <c r="L10" s="27" t="n">
        <v>0</v>
      </c>
      <c r="M10" s="19" t="n">
        <f aca="false">IFERROR(ROUND(COUNTA(E10:L10)/8,2),0)</f>
        <v>1</v>
      </c>
      <c r="N10" s="20" t="str">
        <f aca="false">COUNTA(E10:L10)&amp;"/8 fields"</f>
        <v>8/8 fields</v>
      </c>
      <c r="O10" s="21" t="s">
        <v>30</v>
      </c>
    </row>
    <row r="11" customFormat="false" ht="15.75" hidden="false" customHeight="true" outlineLevel="0" collapsed="false">
      <c r="A11" s="22" t="s">
        <v>35</v>
      </c>
      <c r="B11" s="22" t="s">
        <v>33</v>
      </c>
      <c r="C11" s="23" t="s">
        <v>36</v>
      </c>
      <c r="D11" s="23" t="s">
        <v>31</v>
      </c>
      <c r="E11" s="24" t="n">
        <v>7150</v>
      </c>
      <c r="F11" s="24" t="n">
        <v>63031</v>
      </c>
      <c r="G11" s="25" t="n">
        <v>485.753</v>
      </c>
      <c r="H11" s="25" t="n">
        <v>294.8521</v>
      </c>
      <c r="I11" s="26" t="n">
        <v>0.607</v>
      </c>
      <c r="J11" s="26" t="n">
        <v>0.11</v>
      </c>
      <c r="K11" s="26" t="n">
        <v>0.39</v>
      </c>
      <c r="L11" s="27" t="n">
        <v>0</v>
      </c>
      <c r="M11" s="19" t="n">
        <f aca="false">IFERROR(ROUND(COUNTA(E11:L11)/8,2),0)</f>
        <v>1</v>
      </c>
      <c r="N11" s="20" t="str">
        <f aca="false">COUNTA(E11:L11)&amp;"/8 fields"</f>
        <v>8/8 fields</v>
      </c>
      <c r="O11" s="21" t="s">
        <v>30</v>
      </c>
    </row>
    <row r="12" customFormat="false" ht="15.75" hidden="false" customHeight="true" outlineLevel="0" collapsed="false">
      <c r="A12" s="28" t="s">
        <v>37</v>
      </c>
      <c r="B12" s="28" t="s">
        <v>38</v>
      </c>
      <c r="C12" s="29" t="s">
        <v>39</v>
      </c>
      <c r="D12" s="29" t="s">
        <v>29</v>
      </c>
      <c r="E12" s="30" t="n">
        <v>29829</v>
      </c>
      <c r="F12" s="30" t="n">
        <v>385265</v>
      </c>
      <c r="G12" s="31" t="n">
        <v>1.98</v>
      </c>
      <c r="H12" s="31" t="n">
        <v>0.009</v>
      </c>
      <c r="I12" s="32" t="n">
        <v>0.005</v>
      </c>
      <c r="J12" s="32" t="n">
        <v>0.17</v>
      </c>
      <c r="K12" s="32" t="n">
        <v>0.195</v>
      </c>
      <c r="L12" s="33" t="n">
        <v>0</v>
      </c>
      <c r="M12" s="19" t="n">
        <f aca="false">IFERROR(ROUND(COUNTA(E12:L12)/8,2),0)</f>
        <v>1</v>
      </c>
      <c r="N12" s="20" t="str">
        <f aca="false">COUNTA(E12:L12)&amp;"/8 fields"</f>
        <v>8/8 fields</v>
      </c>
      <c r="O12" s="21" t="s">
        <v>30</v>
      </c>
    </row>
    <row r="13" customFormat="false" ht="15.75" hidden="false" customHeight="true" outlineLevel="0" collapsed="false">
      <c r="A13" s="28" t="s">
        <v>37</v>
      </c>
      <c r="B13" s="28" t="s">
        <v>38</v>
      </c>
      <c r="C13" s="29" t="s">
        <v>39</v>
      </c>
      <c r="D13" s="29" t="s">
        <v>31</v>
      </c>
      <c r="E13" s="30" t="n">
        <v>63215</v>
      </c>
      <c r="F13" s="30" t="n">
        <v>502690</v>
      </c>
      <c r="G13" s="31" t="n">
        <v>3.04</v>
      </c>
      <c r="H13" s="31" t="n">
        <v>0.021</v>
      </c>
      <c r="I13" s="32" t="n">
        <v>0.007</v>
      </c>
      <c r="J13" s="32" t="n">
        <v>0.17</v>
      </c>
      <c r="K13" s="32" t="n">
        <v>0.195</v>
      </c>
      <c r="L13" s="33" t="n">
        <v>0</v>
      </c>
      <c r="M13" s="19" t="n">
        <f aca="false">IFERROR(ROUND(COUNTA(E13:L13)/8,2),0)</f>
        <v>1</v>
      </c>
      <c r="N13" s="20" t="str">
        <f aca="false">COUNTA(E13:L13)&amp;"/8 fields"</f>
        <v>8/8 fields</v>
      </c>
      <c r="O13" s="21" t="s">
        <v>30</v>
      </c>
    </row>
    <row r="14" customFormat="false" ht="15.75" hidden="false" customHeight="true" outlineLevel="0" collapsed="false">
      <c r="A14" s="22" t="s">
        <v>40</v>
      </c>
      <c r="B14" s="22" t="s">
        <v>33</v>
      </c>
      <c r="C14" s="23" t="s">
        <v>41</v>
      </c>
      <c r="D14" s="23" t="s">
        <v>29</v>
      </c>
      <c r="E14" s="24" t="n">
        <v>9640</v>
      </c>
      <c r="F14" s="24" t="n">
        <v>68760</v>
      </c>
      <c r="G14" s="25" t="n">
        <v>731.952</v>
      </c>
      <c r="H14" s="25" t="n">
        <v>439.1712</v>
      </c>
      <c r="I14" s="26" t="n">
        <v>0.6</v>
      </c>
      <c r="J14" s="26" t="n">
        <v>0.13</v>
      </c>
      <c r="K14" s="26" t="n">
        <v>0.35</v>
      </c>
      <c r="L14" s="27" t="n">
        <v>0</v>
      </c>
      <c r="M14" s="19" t="n">
        <f aca="false">IFERROR(ROUND(COUNTA(E14:L14)/8,2),0)</f>
        <v>1</v>
      </c>
      <c r="N14" s="20" t="str">
        <f aca="false">COUNTA(E14:L14)&amp;"/8 fields"</f>
        <v>8/8 fields</v>
      </c>
      <c r="O14" s="21" t="s">
        <v>30</v>
      </c>
    </row>
    <row r="15" customFormat="false" ht="15.75" hidden="false" customHeight="true" outlineLevel="0" collapsed="false">
      <c r="A15" s="22" t="s">
        <v>40</v>
      </c>
      <c r="B15" s="22" t="s">
        <v>33</v>
      </c>
      <c r="C15" s="23" t="s">
        <v>41</v>
      </c>
      <c r="D15" s="23" t="s">
        <v>31</v>
      </c>
      <c r="E15" s="24" t="n">
        <v>6515</v>
      </c>
      <c r="F15" s="24" t="n">
        <v>38928</v>
      </c>
      <c r="G15" s="25" t="n">
        <v>840.96</v>
      </c>
      <c r="H15" s="25" t="n">
        <v>639.1296</v>
      </c>
      <c r="I15" s="26" t="n">
        <v>0.76</v>
      </c>
      <c r="J15" s="26" t="n">
        <v>0.13</v>
      </c>
      <c r="K15" s="26" t="n">
        <v>0.35</v>
      </c>
      <c r="L15" s="27" t="n">
        <v>0</v>
      </c>
      <c r="M15" s="19" t="n">
        <f aca="false">IFERROR(ROUND(COUNTA(E15:L15)/8,2),0)</f>
        <v>1</v>
      </c>
      <c r="N15" s="20" t="str">
        <f aca="false">COUNTA(E15:L15)&amp;"/8 fields"</f>
        <v>8/8 fields</v>
      </c>
      <c r="O15" s="21" t="s">
        <v>30</v>
      </c>
    </row>
    <row r="16" customFormat="false" ht="15.75" hidden="false" customHeight="true" outlineLevel="0" collapsed="false">
      <c r="A16" s="34" t="s">
        <v>42</v>
      </c>
      <c r="B16" s="34" t="s">
        <v>43</v>
      </c>
      <c r="C16" s="35" t="s">
        <v>44</v>
      </c>
      <c r="D16" s="35" t="s">
        <v>29</v>
      </c>
      <c r="E16" s="36" t="n">
        <v>1355000</v>
      </c>
      <c r="F16" s="36" t="n">
        <v>1596000</v>
      </c>
      <c r="G16" s="37" t="n">
        <v>24.394</v>
      </c>
      <c r="H16" s="37" t="n">
        <v>10.4894</v>
      </c>
      <c r="I16" s="38" t="n">
        <v>0.43</v>
      </c>
      <c r="J16" s="38" t="n">
        <v>0.21</v>
      </c>
      <c r="K16" s="17"/>
      <c r="L16" s="39" t="n">
        <v>0</v>
      </c>
      <c r="M16" s="19" t="n">
        <f aca="false">IFERROR(ROUND(COUNTA(E16:L16)/8,2),0)</f>
        <v>0.88</v>
      </c>
      <c r="N16" s="20" t="str">
        <f aca="false">COUNTA(E16:L16)&amp;"/8 fields"</f>
        <v>7/8 fields</v>
      </c>
      <c r="O16" s="21" t="s">
        <v>30</v>
      </c>
    </row>
    <row r="17" customFormat="false" ht="15.75" hidden="false" customHeight="true" outlineLevel="0" collapsed="false">
      <c r="A17" s="34" t="s">
        <v>42</v>
      </c>
      <c r="B17" s="34" t="s">
        <v>43</v>
      </c>
      <c r="C17" s="35" t="s">
        <v>44</v>
      </c>
      <c r="D17" s="35" t="s">
        <v>31</v>
      </c>
      <c r="E17" s="36" t="n">
        <v>1400000</v>
      </c>
      <c r="F17" s="36" t="n">
        <v>1650000</v>
      </c>
      <c r="G17" s="37" t="n">
        <v>25</v>
      </c>
      <c r="H17" s="37" t="n">
        <v>12.5</v>
      </c>
      <c r="I17" s="38" t="n">
        <v>0.5</v>
      </c>
      <c r="J17" s="38" t="n">
        <v>0.21</v>
      </c>
      <c r="K17" s="17"/>
      <c r="L17" s="39" t="n">
        <v>0</v>
      </c>
      <c r="M17" s="19" t="n">
        <f aca="false">IFERROR(ROUND(COUNTA(E17:L17)/8,2),0)</f>
        <v>0.88</v>
      </c>
      <c r="N17" s="20" t="str">
        <f aca="false">COUNTA(E17:L17)&amp;"/8 fields"</f>
        <v>7/8 fields</v>
      </c>
      <c r="O17" s="21" t="s">
        <v>30</v>
      </c>
    </row>
    <row r="18" customFormat="false" ht="15.75" hidden="false" customHeight="true" outlineLevel="0" collapsed="false">
      <c r="A18" s="22" t="s">
        <v>45</v>
      </c>
      <c r="B18" s="22" t="s">
        <v>33</v>
      </c>
      <c r="C18" s="23" t="s">
        <v>46</v>
      </c>
      <c r="D18" s="23" t="s">
        <v>29</v>
      </c>
      <c r="E18" s="24" t="n">
        <v>15878</v>
      </c>
      <c r="F18" s="24" t="n">
        <v>173743</v>
      </c>
      <c r="G18" s="40" t="n">
        <v>1.0175</v>
      </c>
      <c r="H18" s="17"/>
      <c r="I18" s="26" t="n">
        <v>0.4</v>
      </c>
      <c r="J18" s="26" t="n">
        <v>0.3</v>
      </c>
      <c r="K18" s="26" t="n">
        <v>0.3</v>
      </c>
      <c r="L18" s="27" t="n">
        <v>0</v>
      </c>
      <c r="M18" s="19" t="n">
        <f aca="false">IFERROR(ROUND(COUNTA(E18:L18)/8,2),0)</f>
        <v>0.88</v>
      </c>
      <c r="N18" s="20" t="str">
        <f aca="false">COUNTA(E18:L18)&amp;"/8 fields"</f>
        <v>7/8 fields</v>
      </c>
      <c r="O18" s="21" t="s">
        <v>30</v>
      </c>
    </row>
    <row r="19" customFormat="false" ht="15.75" hidden="false" customHeight="true" outlineLevel="0" collapsed="false">
      <c r="A19" s="22" t="s">
        <v>45</v>
      </c>
      <c r="B19" s="22" t="s">
        <v>33</v>
      </c>
      <c r="C19" s="23" t="s">
        <v>46</v>
      </c>
      <c r="D19" s="23" t="s">
        <v>31</v>
      </c>
      <c r="E19" s="24" t="n">
        <v>12507</v>
      </c>
      <c r="F19" s="24" t="n">
        <v>167425</v>
      </c>
      <c r="G19" s="40" t="n">
        <v>0.9852</v>
      </c>
      <c r="H19" s="40" t="n">
        <v>0.1874</v>
      </c>
      <c r="I19" s="26" t="n">
        <v>0.45</v>
      </c>
      <c r="J19" s="26" t="n">
        <v>0.3</v>
      </c>
      <c r="K19" s="26" t="n">
        <v>0.3</v>
      </c>
      <c r="L19" s="27" t="n">
        <v>0</v>
      </c>
      <c r="M19" s="19" t="n">
        <f aca="false">IFERROR(ROUND(COUNTA(E19:L19)/8,2),0)</f>
        <v>1</v>
      </c>
      <c r="N19" s="20" t="str">
        <f aca="false">COUNTA(E19:L19)&amp;"/8 fields"</f>
        <v>8/8 fields</v>
      </c>
      <c r="O19" s="21" t="s">
        <v>30</v>
      </c>
    </row>
    <row r="20" customFormat="false" ht="15.75" hidden="false" customHeight="true" outlineLevel="0" collapsed="false">
      <c r="A20" s="28" t="s">
        <v>47</v>
      </c>
      <c r="B20" s="28" t="s">
        <v>38</v>
      </c>
      <c r="C20" s="29" t="s">
        <v>48</v>
      </c>
      <c r="D20" s="29" t="s">
        <v>29</v>
      </c>
      <c r="E20" s="30" t="n">
        <v>23815</v>
      </c>
      <c r="F20" s="30" t="n">
        <v>149765</v>
      </c>
      <c r="G20" s="41" t="n">
        <v>0.7867</v>
      </c>
      <c r="H20" s="41" t="n">
        <v>0.0615</v>
      </c>
      <c r="I20" s="32" t="n">
        <v>0.0782</v>
      </c>
      <c r="J20" s="32" t="n">
        <v>0.22</v>
      </c>
      <c r="K20" s="17"/>
      <c r="L20" s="33" t="n">
        <v>0</v>
      </c>
      <c r="M20" s="19" t="n">
        <f aca="false">IFERROR(ROUND(COUNTA(E20:L20)/8,2),0)</f>
        <v>0.88</v>
      </c>
      <c r="N20" s="20" t="str">
        <f aca="false">COUNTA(E20:L20)&amp;"/8 fields"</f>
        <v>7/8 fields</v>
      </c>
      <c r="O20" s="21" t="s">
        <v>30</v>
      </c>
    </row>
    <row r="21" customFormat="false" ht="15.75" hidden="false" customHeight="true" outlineLevel="0" collapsed="false">
      <c r="A21" s="28" t="s">
        <v>47</v>
      </c>
      <c r="B21" s="28" t="s">
        <v>38</v>
      </c>
      <c r="C21" s="29" t="s">
        <v>48</v>
      </c>
      <c r="D21" s="29" t="s">
        <v>31</v>
      </c>
      <c r="E21" s="30" t="n">
        <v>20000</v>
      </c>
      <c r="F21" s="30" t="n">
        <v>126200</v>
      </c>
      <c r="G21" s="41" t="n">
        <v>0.8823</v>
      </c>
      <c r="H21" s="41" t="n">
        <v>0.2726</v>
      </c>
      <c r="I21" s="32" t="n">
        <v>0.309</v>
      </c>
      <c r="J21" s="32" t="n">
        <v>0.22</v>
      </c>
      <c r="K21" s="17"/>
      <c r="L21" s="33" t="n">
        <v>0</v>
      </c>
      <c r="M21" s="19" t="n">
        <f aca="false">IFERROR(ROUND(COUNTA(E21:L21)/8,2),0)</f>
        <v>0.88</v>
      </c>
      <c r="N21" s="20" t="str">
        <f aca="false">COUNTA(E21:L21)&amp;"/8 fields"</f>
        <v>7/8 fields</v>
      </c>
      <c r="O21" s="21" t="s">
        <v>30</v>
      </c>
    </row>
    <row r="22" customFormat="false" ht="15.75" hidden="false" customHeight="true" outlineLevel="0" collapsed="false">
      <c r="A22" s="42" t="s">
        <v>49</v>
      </c>
      <c r="B22" s="42" t="s">
        <v>50</v>
      </c>
      <c r="C22" s="43" t="s">
        <v>51</v>
      </c>
      <c r="D22" s="43" t="s">
        <v>29</v>
      </c>
      <c r="E22" s="44" t="n">
        <v>30000</v>
      </c>
      <c r="F22" s="44" t="n">
        <v>103394</v>
      </c>
      <c r="G22" s="45" t="n">
        <v>0.3726</v>
      </c>
      <c r="H22" s="17"/>
      <c r="I22" s="46" t="n">
        <v>0.622</v>
      </c>
      <c r="J22" s="46" t="n">
        <v>0.33</v>
      </c>
      <c r="K22" s="17"/>
      <c r="L22" s="47" t="n">
        <v>0</v>
      </c>
      <c r="M22" s="19" t="n">
        <f aca="false">IFERROR(ROUND(COUNTA(E22:L22)/8,2),0)</f>
        <v>0.75</v>
      </c>
      <c r="N22" s="20" t="str">
        <f aca="false">COUNTA(E22:L22)&amp;"/8 fields"</f>
        <v>6/8 fields</v>
      </c>
      <c r="O22" s="21" t="s">
        <v>30</v>
      </c>
    </row>
    <row r="23" customFormat="false" ht="15.75" hidden="false" customHeight="true" outlineLevel="0" collapsed="false">
      <c r="A23" s="42" t="s">
        <v>49</v>
      </c>
      <c r="B23" s="42" t="s">
        <v>50</v>
      </c>
      <c r="C23" s="43" t="s">
        <v>51</v>
      </c>
      <c r="D23" s="43" t="s">
        <v>31</v>
      </c>
      <c r="E23" s="44" t="n">
        <v>13000</v>
      </c>
      <c r="F23" s="44" t="n">
        <v>42925</v>
      </c>
      <c r="G23" s="45" t="n">
        <v>0.28</v>
      </c>
      <c r="H23" s="17"/>
      <c r="I23" s="46" t="n">
        <v>0.36</v>
      </c>
      <c r="J23" s="46" t="n">
        <v>0.14</v>
      </c>
      <c r="K23" s="17"/>
      <c r="L23" s="47" t="n">
        <v>0</v>
      </c>
      <c r="M23" s="19" t="n">
        <f aca="false">IFERROR(ROUND(COUNTA(E23:L23)/8,2),0)</f>
        <v>0.75</v>
      </c>
      <c r="N23" s="20" t="str">
        <f aca="false">COUNTA(E23:L23)&amp;"/8 fields"</f>
        <v>6/8 fields</v>
      </c>
      <c r="O23" s="21" t="s">
        <v>30</v>
      </c>
    </row>
    <row r="24" customFormat="false" ht="15.75" hidden="false" customHeight="true" outlineLevel="0" collapsed="false">
      <c r="A24" s="48" t="s">
        <v>52</v>
      </c>
      <c r="B24" s="48" t="s">
        <v>53</v>
      </c>
      <c r="C24" s="49" t="s">
        <v>54</v>
      </c>
      <c r="D24" s="49" t="s">
        <v>29</v>
      </c>
      <c r="E24" s="50" t="n">
        <v>291000</v>
      </c>
      <c r="F24" s="50" t="n">
        <v>970000</v>
      </c>
      <c r="G24" s="51" t="n">
        <v>10.7</v>
      </c>
      <c r="H24" s="51" t="n">
        <v>1.0272</v>
      </c>
      <c r="I24" s="52" t="n">
        <v>0.096</v>
      </c>
      <c r="J24" s="52" t="n">
        <v>0.11</v>
      </c>
      <c r="K24" s="17"/>
      <c r="L24" s="53" t="n">
        <v>0</v>
      </c>
      <c r="M24" s="19" t="n">
        <f aca="false">IFERROR(ROUND(COUNTA(E24:L24)/8,2),0)</f>
        <v>0.88</v>
      </c>
      <c r="N24" s="20" t="str">
        <f aca="false">COUNTA(E24:L24)&amp;"/8 fields"</f>
        <v>7/8 fields</v>
      </c>
      <c r="O24" s="21" t="s">
        <v>30</v>
      </c>
    </row>
    <row r="25" customFormat="false" ht="15.75" hidden="false" customHeight="true" outlineLevel="0" collapsed="false">
      <c r="A25" s="48" t="s">
        <v>52</v>
      </c>
      <c r="B25" s="48" t="s">
        <v>53</v>
      </c>
      <c r="C25" s="49" t="s">
        <v>54</v>
      </c>
      <c r="D25" s="49" t="s">
        <v>31</v>
      </c>
      <c r="E25" s="50" t="n">
        <v>297000</v>
      </c>
      <c r="F25" s="50" t="n">
        <v>990000</v>
      </c>
      <c r="G25" s="51" t="n">
        <v>10.5</v>
      </c>
      <c r="H25" s="51" t="n">
        <v>1.05</v>
      </c>
      <c r="I25" s="52" t="n">
        <v>0.1</v>
      </c>
      <c r="J25" s="52" t="n">
        <v>0.11</v>
      </c>
      <c r="K25" s="17"/>
      <c r="L25" s="53" t="n">
        <v>0</v>
      </c>
      <c r="M25" s="19" t="n">
        <f aca="false">IFERROR(ROUND(COUNTA(E25:L25)/8,2),0)</f>
        <v>0.88</v>
      </c>
      <c r="N25" s="20" t="str">
        <f aca="false">COUNTA(E25:L25)&amp;"/8 fields"</f>
        <v>7/8 fields</v>
      </c>
      <c r="O25" s="21" t="s">
        <v>30</v>
      </c>
    </row>
    <row r="26" customFormat="false" ht="15.75" hidden="false" customHeight="true" outlineLevel="0" collapsed="false">
      <c r="A26" s="54" t="s">
        <v>55</v>
      </c>
      <c r="B26" s="54" t="s">
        <v>56</v>
      </c>
      <c r="C26" s="55" t="s">
        <v>57</v>
      </c>
      <c r="D26" s="55" t="s">
        <v>29</v>
      </c>
      <c r="E26" s="56" t="n">
        <v>58935</v>
      </c>
      <c r="F26" s="56" t="n">
        <v>261241</v>
      </c>
      <c r="G26" s="57" t="n">
        <v>2.4682</v>
      </c>
      <c r="H26" s="57" t="n">
        <v>0.8392</v>
      </c>
      <c r="I26" s="58" t="n">
        <v>0.34</v>
      </c>
      <c r="J26" s="58" t="n">
        <v>0.15</v>
      </c>
      <c r="K26" s="17"/>
      <c r="L26" s="59" t="n">
        <v>0</v>
      </c>
      <c r="M26" s="19" t="n">
        <f aca="false">IFERROR(ROUND(COUNTA(E26:L26)/8,2),0)</f>
        <v>0.88</v>
      </c>
      <c r="N26" s="20" t="str">
        <f aca="false">COUNTA(E26:L26)&amp;"/8 fields"</f>
        <v>7/8 fields</v>
      </c>
      <c r="O26" s="21" t="s">
        <v>30</v>
      </c>
    </row>
    <row r="27" customFormat="false" ht="15.75" hidden="false" customHeight="true" outlineLevel="0" collapsed="false">
      <c r="A27" s="54" t="s">
        <v>55</v>
      </c>
      <c r="B27" s="54" t="s">
        <v>56</v>
      </c>
      <c r="C27" s="55" t="s">
        <v>57</v>
      </c>
      <c r="D27" s="55" t="s">
        <v>31</v>
      </c>
      <c r="E27" s="56" t="n">
        <v>60359</v>
      </c>
      <c r="F27" s="56" t="n">
        <v>269366</v>
      </c>
      <c r="G27" s="60" t="n">
        <v>2.55</v>
      </c>
      <c r="H27" s="17"/>
      <c r="I27" s="58" t="n">
        <v>0.34</v>
      </c>
      <c r="J27" s="58" t="n">
        <v>0.15</v>
      </c>
      <c r="K27" s="17"/>
      <c r="L27" s="59" t="n">
        <v>0</v>
      </c>
      <c r="M27" s="19" t="n">
        <f aca="false">IFERROR(ROUND(COUNTA(E27:L27)/8,2),0)</f>
        <v>0.75</v>
      </c>
      <c r="N27" s="20" t="str">
        <f aca="false">COUNTA(E27:L27)&amp;"/8 fields"</f>
        <v>6/8 fields</v>
      </c>
      <c r="O27" s="21" t="s">
        <v>30</v>
      </c>
    </row>
    <row r="28" customFormat="false" ht="15.75" hidden="false" customHeight="true" outlineLevel="0" collapsed="false">
      <c r="A28" s="34" t="s">
        <v>58</v>
      </c>
      <c r="B28" s="34" t="s">
        <v>43</v>
      </c>
      <c r="C28" s="35" t="s">
        <v>59</v>
      </c>
      <c r="D28" s="35" t="s">
        <v>29</v>
      </c>
      <c r="E28" s="36" t="n">
        <v>20165</v>
      </c>
      <c r="F28" s="36" t="n">
        <v>239815</v>
      </c>
      <c r="G28" s="37" t="n">
        <v>3.7194</v>
      </c>
      <c r="H28" s="37" t="n">
        <v>3.5334</v>
      </c>
      <c r="I28" s="38" t="n">
        <v>0.95</v>
      </c>
      <c r="J28" s="38" t="n">
        <v>0.25</v>
      </c>
      <c r="K28" s="17"/>
      <c r="L28" s="39" t="n">
        <v>0</v>
      </c>
      <c r="M28" s="19" t="n">
        <f aca="false">IFERROR(ROUND(COUNTA(E28:L28)/8,2),0)</f>
        <v>0.88</v>
      </c>
      <c r="N28" s="20" t="str">
        <f aca="false">COUNTA(E28:L28)&amp;"/8 fields"</f>
        <v>7/8 fields</v>
      </c>
      <c r="O28" s="21" t="s">
        <v>30</v>
      </c>
    </row>
    <row r="29" customFormat="false" ht="15.75" hidden="false" customHeight="true" outlineLevel="0" collapsed="false">
      <c r="A29" s="34" t="s">
        <v>58</v>
      </c>
      <c r="B29" s="34" t="s">
        <v>43</v>
      </c>
      <c r="C29" s="35" t="s">
        <v>59</v>
      </c>
      <c r="D29" s="35" t="s">
        <v>31</v>
      </c>
      <c r="E29" s="36" t="n">
        <v>14622</v>
      </c>
      <c r="F29" s="36" t="n">
        <v>234856</v>
      </c>
      <c r="G29" s="37" t="n">
        <v>3.7266</v>
      </c>
      <c r="H29" s="37" t="n">
        <v>3.5775</v>
      </c>
      <c r="I29" s="38" t="n">
        <v>0.96</v>
      </c>
      <c r="J29" s="38" t="n">
        <v>0.25</v>
      </c>
      <c r="K29" s="17"/>
      <c r="L29" s="39" t="n">
        <v>0</v>
      </c>
      <c r="M29" s="19" t="n">
        <f aca="false">IFERROR(ROUND(COUNTA(E29:L29)/8,2),0)</f>
        <v>0.88</v>
      </c>
      <c r="N29" s="20" t="str">
        <f aca="false">COUNTA(E29:L29)&amp;"/8 fields"</f>
        <v>7/8 fields</v>
      </c>
      <c r="O29" s="21" t="s">
        <v>30</v>
      </c>
    </row>
    <row r="30" customFormat="false" ht="15.75" hidden="false" customHeight="true" outlineLevel="0" collapsed="false">
      <c r="A30" s="61" t="s">
        <v>60</v>
      </c>
      <c r="B30" s="61" t="s">
        <v>61</v>
      </c>
      <c r="C30" s="62" t="s">
        <v>62</v>
      </c>
      <c r="D30" s="62" t="s">
        <v>29</v>
      </c>
      <c r="E30" s="63" t="n">
        <v>18616</v>
      </c>
      <c r="F30" s="63" t="n">
        <v>36278</v>
      </c>
      <c r="G30" s="64" t="n">
        <v>0.0003</v>
      </c>
      <c r="H30" s="17"/>
      <c r="I30" s="65" t="n">
        <v>0.018</v>
      </c>
      <c r="J30" s="65" t="n">
        <v>0.21</v>
      </c>
      <c r="K30" s="65" t="n">
        <v>0.21</v>
      </c>
      <c r="L30" s="66" t="n">
        <v>0</v>
      </c>
      <c r="M30" s="19" t="n">
        <f aca="false">IFERROR(ROUND(COUNTA(E30:L30)/8,2),0)</f>
        <v>0.88</v>
      </c>
      <c r="N30" s="20" t="str">
        <f aca="false">COUNTA(E30:L30)&amp;"/8 fields"</f>
        <v>7/8 fields</v>
      </c>
      <c r="O30" s="21" t="s">
        <v>30</v>
      </c>
    </row>
    <row r="31" customFormat="false" ht="15.75" hidden="false" customHeight="true" outlineLevel="0" collapsed="false">
      <c r="A31" s="61" t="s">
        <v>60</v>
      </c>
      <c r="B31" s="61" t="s">
        <v>61</v>
      </c>
      <c r="C31" s="62" t="s">
        <v>62</v>
      </c>
      <c r="D31" s="62" t="s">
        <v>31</v>
      </c>
      <c r="E31" s="63" t="n">
        <v>4785</v>
      </c>
      <c r="F31" s="63" t="n">
        <v>33693</v>
      </c>
      <c r="G31" s="67" t="n">
        <v>0.234</v>
      </c>
      <c r="H31" s="17"/>
      <c r="I31" s="65" t="n">
        <v>0.0176</v>
      </c>
      <c r="J31" s="65" t="n">
        <v>0.21</v>
      </c>
      <c r="K31" s="17"/>
      <c r="L31" s="66" t="n">
        <v>0</v>
      </c>
      <c r="M31" s="19" t="n">
        <f aca="false">IFERROR(ROUND(COUNTA(E31:L31)/8,2),0)</f>
        <v>0.75</v>
      </c>
      <c r="N31" s="20" t="str">
        <f aca="false">COUNTA(E31:L31)&amp;"/8 fields"</f>
        <v>6/8 fields</v>
      </c>
      <c r="O31" s="21" t="s">
        <v>30</v>
      </c>
    </row>
    <row r="32" customFormat="false" ht="15.75" hidden="false" customHeight="true" outlineLevel="0" collapsed="false">
      <c r="A32" s="34" t="s">
        <v>63</v>
      </c>
      <c r="B32" s="34" t="s">
        <v>43</v>
      </c>
      <c r="C32" s="35" t="s">
        <v>64</v>
      </c>
      <c r="D32" s="35" t="s">
        <v>29</v>
      </c>
      <c r="E32" s="36" t="n">
        <v>8160</v>
      </c>
      <c r="F32" s="36" t="n">
        <v>2214374</v>
      </c>
      <c r="G32" s="68" t="n">
        <v>2.0859</v>
      </c>
      <c r="H32" s="68" t="n">
        <v>0.7578</v>
      </c>
      <c r="I32" s="38" t="n">
        <v>0.3633</v>
      </c>
      <c r="J32" s="38" t="n">
        <v>0.33</v>
      </c>
      <c r="K32" s="17"/>
      <c r="L32" s="39" t="n">
        <v>0</v>
      </c>
      <c r="M32" s="19" t="n">
        <f aca="false">IFERROR(ROUND(COUNTA(E32:L32)/8,2),0)</f>
        <v>0.88</v>
      </c>
      <c r="N32" s="20" t="str">
        <f aca="false">COUNTA(E32:L32)&amp;"/8 fields"</f>
        <v>7/8 fields</v>
      </c>
      <c r="O32" s="21" t="s">
        <v>30</v>
      </c>
    </row>
    <row r="33" customFormat="false" ht="15.75" hidden="false" customHeight="true" outlineLevel="0" collapsed="false">
      <c r="A33" s="34" t="s">
        <v>63</v>
      </c>
      <c r="B33" s="34" t="s">
        <v>43</v>
      </c>
      <c r="C33" s="35" t="s">
        <v>64</v>
      </c>
      <c r="D33" s="35" t="s">
        <v>31</v>
      </c>
      <c r="E33" s="36" t="n">
        <v>8160</v>
      </c>
      <c r="F33" s="36" t="n">
        <v>2603706</v>
      </c>
      <c r="G33" s="68" t="n">
        <v>4.8102</v>
      </c>
      <c r="H33" s="68" t="n">
        <v>1.6808</v>
      </c>
      <c r="I33" s="38" t="n">
        <v>0.349</v>
      </c>
      <c r="J33" s="38" t="n">
        <v>0.33</v>
      </c>
      <c r="K33" s="17"/>
      <c r="L33" s="39" t="n">
        <v>0</v>
      </c>
      <c r="M33" s="19" t="n">
        <f aca="false">IFERROR(ROUND(COUNTA(E33:L33)/8,2),0)</f>
        <v>0.88</v>
      </c>
      <c r="N33" s="20" t="str">
        <f aca="false">COUNTA(E33:L33)&amp;"/8 fields"</f>
        <v>7/8 fields</v>
      </c>
      <c r="O33" s="21" t="s">
        <v>30</v>
      </c>
    </row>
    <row r="34" customFormat="false" ht="15.75" hidden="false" customHeight="true" outlineLevel="0" collapsed="false">
      <c r="A34" s="69" t="s">
        <v>65</v>
      </c>
      <c r="B34" s="69" t="s">
        <v>66</v>
      </c>
      <c r="C34" s="70" t="s">
        <v>67</v>
      </c>
      <c r="D34" s="70" t="s">
        <v>29</v>
      </c>
      <c r="E34" s="71" t="n">
        <v>51133</v>
      </c>
      <c r="F34" s="71" t="n">
        <v>1201206</v>
      </c>
      <c r="G34" s="72" t="n">
        <v>5.6132</v>
      </c>
      <c r="H34" s="72" t="n">
        <v>0.5641</v>
      </c>
      <c r="I34" s="73" t="n">
        <v>0.1</v>
      </c>
      <c r="J34" s="73" t="n">
        <v>0.27</v>
      </c>
      <c r="K34" s="73" t="n">
        <v>0.111</v>
      </c>
      <c r="L34" s="74" t="n">
        <v>0</v>
      </c>
      <c r="M34" s="19" t="n">
        <f aca="false">IFERROR(ROUND(COUNTA(E34:L34)/8,2),0)</f>
        <v>1</v>
      </c>
      <c r="N34" s="20" t="str">
        <f aca="false">COUNTA(E34:L34)&amp;"/8 fields"</f>
        <v>8/8 fields</v>
      </c>
      <c r="O34" s="21" t="s">
        <v>30</v>
      </c>
    </row>
    <row r="35" customFormat="false" ht="15.75" hidden="false" customHeight="true" outlineLevel="0" collapsed="false">
      <c r="A35" s="69" t="s">
        <v>65</v>
      </c>
      <c r="B35" s="69" t="s">
        <v>66</v>
      </c>
      <c r="C35" s="70" t="s">
        <v>67</v>
      </c>
      <c r="D35" s="70" t="s">
        <v>31</v>
      </c>
      <c r="E35" s="71" t="n">
        <v>50700</v>
      </c>
      <c r="F35" s="71" t="n">
        <v>1053843</v>
      </c>
      <c r="G35" s="72" t="n">
        <v>5.2102</v>
      </c>
      <c r="H35" s="72" t="n">
        <v>0.8061</v>
      </c>
      <c r="I35" s="73" t="n">
        <v>0.155</v>
      </c>
      <c r="J35" s="73" t="n">
        <v>0.27</v>
      </c>
      <c r="K35" s="73" t="n">
        <v>0.158</v>
      </c>
      <c r="L35" s="74" t="n">
        <v>0</v>
      </c>
      <c r="M35" s="19" t="n">
        <f aca="false">IFERROR(ROUND(COUNTA(E35:L35)/8,2),0)</f>
        <v>1</v>
      </c>
      <c r="N35" s="20" t="str">
        <f aca="false">COUNTA(E35:L35)&amp;"/8 fields"</f>
        <v>8/8 fields</v>
      </c>
      <c r="O35" s="21" t="s">
        <v>30</v>
      </c>
    </row>
    <row r="36" customFormat="false" ht="15.75" hidden="false" customHeight="true" outlineLevel="0" collapsed="false">
      <c r="A36" s="28" t="s">
        <v>68</v>
      </c>
      <c r="B36" s="28" t="s">
        <v>38</v>
      </c>
      <c r="C36" s="29" t="s">
        <v>69</v>
      </c>
      <c r="D36" s="29" t="s">
        <v>29</v>
      </c>
      <c r="E36" s="30" t="n">
        <v>12214</v>
      </c>
      <c r="F36" s="30" t="n">
        <v>92696</v>
      </c>
      <c r="G36" s="41" t="n">
        <v>0.11</v>
      </c>
      <c r="H36" s="31" t="n">
        <v>0.0126</v>
      </c>
      <c r="I36" s="32" t="n">
        <v>0.1144</v>
      </c>
      <c r="J36" s="32" t="n">
        <v>0.22</v>
      </c>
      <c r="K36" s="17"/>
      <c r="L36" s="33" t="n">
        <v>0</v>
      </c>
      <c r="M36" s="19" t="n">
        <f aca="false">IFERROR(ROUND(COUNTA(E36:L36)/8,2),0)</f>
        <v>0.88</v>
      </c>
      <c r="N36" s="20" t="str">
        <f aca="false">COUNTA(E36:L36)&amp;"/8 fields"</f>
        <v>7/8 fields</v>
      </c>
      <c r="O36" s="21" t="s">
        <v>30</v>
      </c>
    </row>
    <row r="37" customFormat="false" ht="15.75" hidden="false" customHeight="true" outlineLevel="0" collapsed="false">
      <c r="A37" s="28" t="s">
        <v>68</v>
      </c>
      <c r="B37" s="28" t="s">
        <v>38</v>
      </c>
      <c r="C37" s="29" t="s">
        <v>69</v>
      </c>
      <c r="D37" s="29" t="s">
        <v>31</v>
      </c>
      <c r="E37" s="30" t="n">
        <v>6670</v>
      </c>
      <c r="F37" s="30" t="n">
        <v>50533</v>
      </c>
      <c r="G37" s="41" t="n">
        <v>0.095</v>
      </c>
      <c r="H37" s="17"/>
      <c r="I37" s="32" t="n">
        <v>0.13</v>
      </c>
      <c r="J37" s="32" t="n">
        <v>0.22</v>
      </c>
      <c r="K37" s="17"/>
      <c r="L37" s="33" t="n">
        <v>0</v>
      </c>
      <c r="M37" s="19" t="n">
        <f aca="false">IFERROR(ROUND(COUNTA(E37:L37)/8,2),0)</f>
        <v>0.75</v>
      </c>
      <c r="N37" s="20" t="str">
        <f aca="false">COUNTA(E37:L37)&amp;"/8 fields"</f>
        <v>6/8 fields</v>
      </c>
      <c r="O37" s="21" t="s">
        <v>30</v>
      </c>
    </row>
    <row r="38" customFormat="false" ht="15.75" hidden="false" customHeight="true" outlineLevel="0" collapsed="false">
      <c r="A38" s="28" t="s">
        <v>70</v>
      </c>
      <c r="B38" s="28" t="s">
        <v>38</v>
      </c>
      <c r="C38" s="29" t="s">
        <v>71</v>
      </c>
      <c r="D38" s="29" t="s">
        <v>29</v>
      </c>
      <c r="E38" s="30" t="n">
        <v>7436</v>
      </c>
      <c r="F38" s="30" t="n">
        <v>208628</v>
      </c>
      <c r="G38" s="41" t="n">
        <v>0.25</v>
      </c>
      <c r="H38" s="17"/>
      <c r="I38" s="32" t="n">
        <v>0.05</v>
      </c>
      <c r="J38" s="32" t="n">
        <v>0.2</v>
      </c>
      <c r="K38" s="17"/>
      <c r="L38" s="33" t="n">
        <v>0</v>
      </c>
      <c r="M38" s="19" t="n">
        <f aca="false">IFERROR(ROUND(COUNTA(E38:L38)/8,2),0)</f>
        <v>0.75</v>
      </c>
      <c r="N38" s="20" t="str">
        <f aca="false">COUNTA(E38:L38)&amp;"/8 fields"</f>
        <v>6/8 fields</v>
      </c>
      <c r="O38" s="21" t="s">
        <v>30</v>
      </c>
    </row>
    <row r="39" customFormat="false" ht="15.75" hidden="false" customHeight="true" outlineLevel="0" collapsed="false">
      <c r="A39" s="28" t="s">
        <v>70</v>
      </c>
      <c r="B39" s="28" t="s">
        <v>38</v>
      </c>
      <c r="C39" s="29" t="s">
        <v>71</v>
      </c>
      <c r="D39" s="29" t="s">
        <v>31</v>
      </c>
      <c r="E39" s="30" t="n">
        <v>7000</v>
      </c>
      <c r="F39" s="30" t="n">
        <v>195000</v>
      </c>
      <c r="G39" s="41" t="n">
        <v>0.28</v>
      </c>
      <c r="H39" s="17"/>
      <c r="I39" s="32" t="n">
        <v>0.05</v>
      </c>
      <c r="J39" s="32" t="n">
        <v>0.2</v>
      </c>
      <c r="K39" s="32" t="n">
        <v>0.25</v>
      </c>
      <c r="L39" s="33" t="n">
        <v>0</v>
      </c>
      <c r="M39" s="19" t="n">
        <f aca="false">IFERROR(ROUND(COUNTA(E39:L39)/8,2),0)</f>
        <v>0.88</v>
      </c>
      <c r="N39" s="20" t="str">
        <f aca="false">COUNTA(E39:L39)&amp;"/8 fields"</f>
        <v>7/8 fields</v>
      </c>
      <c r="O39" s="21" t="s">
        <v>30</v>
      </c>
    </row>
    <row r="40" customFormat="false" ht="15.75" hidden="false" customHeight="true" outlineLevel="0" collapsed="false">
      <c r="A40" s="28" t="s">
        <v>72</v>
      </c>
      <c r="B40" s="28" t="s">
        <v>38</v>
      </c>
      <c r="C40" s="29" t="s">
        <v>73</v>
      </c>
      <c r="D40" s="29" t="s">
        <v>29</v>
      </c>
      <c r="E40" s="75"/>
      <c r="F40" s="30" t="n">
        <v>25112</v>
      </c>
      <c r="G40" s="41" t="n">
        <v>0.1143</v>
      </c>
      <c r="H40" s="41" t="n">
        <v>0.02286</v>
      </c>
      <c r="I40" s="32" t="n">
        <v>0.2</v>
      </c>
      <c r="J40" s="32" t="n">
        <v>0.17</v>
      </c>
      <c r="K40" s="76"/>
      <c r="L40" s="33" t="n">
        <v>0</v>
      </c>
      <c r="M40" s="19" t="n">
        <f aca="false">IFERROR(ROUND(COUNTA(E40:L40)/8,2),0)</f>
        <v>0.75</v>
      </c>
      <c r="N40" s="20" t="str">
        <f aca="false">COUNTA(E40:L40)&amp;"/8 fields"</f>
        <v>6/8 fields</v>
      </c>
      <c r="O40" s="21" t="s">
        <v>30</v>
      </c>
    </row>
    <row r="41" customFormat="false" ht="15.75" hidden="false" customHeight="true" outlineLevel="0" collapsed="false">
      <c r="A41" s="28" t="s">
        <v>72</v>
      </c>
      <c r="B41" s="28" t="s">
        <v>38</v>
      </c>
      <c r="C41" s="29" t="s">
        <v>73</v>
      </c>
      <c r="D41" s="29" t="s">
        <v>31</v>
      </c>
      <c r="E41" s="75"/>
      <c r="F41" s="30" t="n">
        <v>36837</v>
      </c>
      <c r="G41" s="41" t="n">
        <v>0.125</v>
      </c>
      <c r="H41" s="41" t="n">
        <v>0.03125</v>
      </c>
      <c r="I41" s="32" t="n">
        <v>0.25</v>
      </c>
      <c r="J41" s="32" t="n">
        <v>0.17</v>
      </c>
      <c r="K41" s="76"/>
      <c r="L41" s="33" t="n">
        <v>0</v>
      </c>
      <c r="M41" s="19" t="n">
        <f aca="false">IFERROR(ROUND(COUNTA(E41:L41)/8,2),0)</f>
        <v>0.75</v>
      </c>
      <c r="N41" s="20" t="str">
        <f aca="false">COUNTA(E41:L41)&amp;"/8 fields"</f>
        <v>6/8 fields</v>
      </c>
      <c r="O41" s="21" t="s">
        <v>30</v>
      </c>
    </row>
    <row r="42" customFormat="false" ht="15.75" hidden="false" customHeight="true" outlineLevel="0" collapsed="false">
      <c r="A42" s="28" t="s">
        <v>74</v>
      </c>
      <c r="B42" s="28" t="s">
        <v>38</v>
      </c>
      <c r="C42" s="29" t="s">
        <v>75</v>
      </c>
      <c r="D42" s="29" t="s">
        <v>29</v>
      </c>
      <c r="E42" s="30" t="n">
        <v>2775</v>
      </c>
      <c r="F42" s="30" t="n">
        <v>27734</v>
      </c>
      <c r="G42" s="41" t="n">
        <v>0.1878</v>
      </c>
      <c r="H42" s="41" t="n">
        <v>0.0372</v>
      </c>
      <c r="I42" s="32" t="n">
        <v>0.198</v>
      </c>
      <c r="J42" s="76"/>
      <c r="K42" s="76"/>
      <c r="L42" s="33" t="n">
        <v>0</v>
      </c>
      <c r="M42" s="19" t="n">
        <f aca="false">IFERROR(ROUND(COUNTA(E42:L42)/8,2),0)</f>
        <v>0.75</v>
      </c>
      <c r="N42" s="20" t="str">
        <f aca="false">COUNTA(E42:L42)&amp;"/8 fields"</f>
        <v>6/8 fields</v>
      </c>
      <c r="O42" s="21" t="s">
        <v>30</v>
      </c>
    </row>
    <row r="43" customFormat="false" ht="15.75" hidden="false" customHeight="true" outlineLevel="0" collapsed="false">
      <c r="A43" s="28" t="s">
        <v>74</v>
      </c>
      <c r="B43" s="28" t="s">
        <v>38</v>
      </c>
      <c r="C43" s="29" t="s">
        <v>75</v>
      </c>
      <c r="D43" s="29" t="s">
        <v>31</v>
      </c>
      <c r="E43" s="30" t="n">
        <v>3867</v>
      </c>
      <c r="F43" s="30" t="n">
        <v>31944</v>
      </c>
      <c r="G43" s="41" t="n">
        <v>0.19</v>
      </c>
      <c r="H43" s="41" t="n">
        <v>0.04</v>
      </c>
      <c r="I43" s="32" t="n">
        <v>0.21</v>
      </c>
      <c r="J43" s="76"/>
      <c r="K43" s="76"/>
      <c r="L43" s="33" t="n">
        <v>0</v>
      </c>
      <c r="M43" s="19" t="n">
        <f aca="false">IFERROR(ROUND(COUNTA(E43:L43)/8,2),0)</f>
        <v>0.75</v>
      </c>
      <c r="N43" s="20" t="str">
        <f aca="false">COUNTA(E43:L43)&amp;"/8 fields"</f>
        <v>6/8 fields</v>
      </c>
      <c r="O43" s="21" t="s">
        <v>30</v>
      </c>
    </row>
    <row r="44" customFormat="false" ht="15.75" hidden="false" customHeight="true" outlineLevel="0" collapsed="false">
      <c r="A44" s="28" t="s">
        <v>76</v>
      </c>
      <c r="B44" s="28" t="s">
        <v>38</v>
      </c>
      <c r="C44" s="29" t="s">
        <v>77</v>
      </c>
      <c r="D44" s="29" t="s">
        <v>29</v>
      </c>
      <c r="E44" s="75"/>
      <c r="F44" s="30" t="n">
        <v>95000</v>
      </c>
      <c r="G44" s="41" t="n">
        <v>0.5</v>
      </c>
      <c r="H44" s="41" t="n">
        <v>0.025</v>
      </c>
      <c r="I44" s="32" t="n">
        <v>0.05</v>
      </c>
      <c r="J44" s="32" t="n">
        <v>0.15</v>
      </c>
      <c r="K44" s="76"/>
      <c r="L44" s="33" t="n">
        <v>1</v>
      </c>
      <c r="M44" s="19" t="n">
        <f aca="false">IFERROR(ROUND(COUNTA(E44:L44)/8,2),0)</f>
        <v>0.75</v>
      </c>
      <c r="N44" s="20" t="str">
        <f aca="false">COUNTA(E44:L44)&amp;"/8 fields"</f>
        <v>6/8 fields</v>
      </c>
      <c r="O44" s="21" t="s">
        <v>30</v>
      </c>
    </row>
    <row r="45" customFormat="false" ht="15.75" hidden="false" customHeight="true" outlineLevel="0" collapsed="false">
      <c r="A45" s="28" t="s">
        <v>76</v>
      </c>
      <c r="B45" s="28" t="s">
        <v>38</v>
      </c>
      <c r="C45" s="29" t="s">
        <v>77</v>
      </c>
      <c r="D45" s="29" t="s">
        <v>31</v>
      </c>
      <c r="E45" s="75"/>
      <c r="F45" s="30" t="n">
        <v>90000</v>
      </c>
      <c r="G45" s="41" t="n">
        <v>0.5</v>
      </c>
      <c r="H45" s="41" t="n">
        <v>0.04</v>
      </c>
      <c r="I45" s="32" t="n">
        <v>0.08</v>
      </c>
      <c r="J45" s="32" t="n">
        <v>0.15</v>
      </c>
      <c r="K45" s="76"/>
      <c r="L45" s="33" t="n">
        <v>0</v>
      </c>
      <c r="M45" s="19" t="n">
        <f aca="false">IFERROR(ROUND(COUNTA(E45:L45)/8,2),0)</f>
        <v>0.75</v>
      </c>
      <c r="N45" s="20" t="str">
        <f aca="false">COUNTA(E45:L45)&amp;"/8 fields"</f>
        <v>6/8 fields</v>
      </c>
      <c r="O45" s="21" t="s">
        <v>30</v>
      </c>
    </row>
    <row r="46" customFormat="false" ht="15.75" hidden="false" customHeight="true" outlineLevel="0" collapsed="false">
      <c r="A46" s="28" t="s">
        <v>78</v>
      </c>
      <c r="B46" s="28" t="s">
        <v>38</v>
      </c>
      <c r="C46" s="29" t="s">
        <v>79</v>
      </c>
      <c r="D46" s="29" t="s">
        <v>29</v>
      </c>
      <c r="E46" s="30" t="n">
        <v>19074</v>
      </c>
      <c r="F46" s="30" t="n">
        <v>72422</v>
      </c>
      <c r="G46" s="41" t="n">
        <v>0.18</v>
      </c>
      <c r="H46" s="41" t="n">
        <v>0.036</v>
      </c>
      <c r="I46" s="32" t="n">
        <v>0.2</v>
      </c>
      <c r="J46" s="32" t="n">
        <v>0.2</v>
      </c>
      <c r="K46" s="76"/>
      <c r="L46" s="33" t="n">
        <v>0</v>
      </c>
      <c r="M46" s="19" t="n">
        <f aca="false">IFERROR(ROUND(COUNTA(E46:L46)/8,2),0)</f>
        <v>0.88</v>
      </c>
      <c r="N46" s="20" t="str">
        <f aca="false">COUNTA(E46:L46)&amp;"/8 fields"</f>
        <v>7/8 fields</v>
      </c>
      <c r="O46" s="21" t="s">
        <v>30</v>
      </c>
    </row>
    <row r="47" customFormat="false" ht="15.75" hidden="false" customHeight="true" outlineLevel="0" collapsed="false">
      <c r="A47" s="28" t="s">
        <v>78</v>
      </c>
      <c r="B47" s="28" t="s">
        <v>38</v>
      </c>
      <c r="C47" s="29" t="s">
        <v>79</v>
      </c>
      <c r="D47" s="29" t="s">
        <v>31</v>
      </c>
      <c r="E47" s="30" t="n">
        <v>15000</v>
      </c>
      <c r="F47" s="30" t="n">
        <v>60000</v>
      </c>
      <c r="G47" s="41" t="n">
        <v>0.16</v>
      </c>
      <c r="H47" s="41" t="n">
        <v>0.048</v>
      </c>
      <c r="I47" s="32" t="n">
        <v>0.3</v>
      </c>
      <c r="J47" s="32" t="n">
        <v>0.2</v>
      </c>
      <c r="K47" s="76"/>
      <c r="L47" s="33" t="n">
        <v>0</v>
      </c>
      <c r="M47" s="19" t="n">
        <f aca="false">IFERROR(ROUND(COUNTA(E47:L47)/8,2),0)</f>
        <v>0.88</v>
      </c>
      <c r="N47" s="20" t="str">
        <f aca="false">COUNTA(E47:L47)&amp;"/8 fields"</f>
        <v>7/8 fields</v>
      </c>
      <c r="O47" s="21" t="s">
        <v>30</v>
      </c>
    </row>
    <row r="48" customFormat="false" ht="15.75" hidden="false" customHeight="true" outlineLevel="0" collapsed="false">
      <c r="A48" s="28" t="s">
        <v>80</v>
      </c>
      <c r="B48" s="28" t="s">
        <v>38</v>
      </c>
      <c r="C48" s="29" t="s">
        <v>81</v>
      </c>
      <c r="D48" s="29" t="s">
        <v>29</v>
      </c>
      <c r="E48" s="30" t="n">
        <v>259258</v>
      </c>
      <c r="F48" s="30" t="n">
        <v>4259258</v>
      </c>
      <c r="G48" s="41" t="n">
        <v>4.4907</v>
      </c>
      <c r="H48" s="41" t="n">
        <v>0.0741</v>
      </c>
      <c r="I48" s="32" t="n">
        <v>0.0165</v>
      </c>
      <c r="J48" s="32" t="n">
        <v>0.18</v>
      </c>
      <c r="K48" s="76"/>
      <c r="L48" s="33" t="n">
        <v>0</v>
      </c>
      <c r="M48" s="19" t="n">
        <f aca="false">IFERROR(ROUND(COUNTA(E48:L48)/8,2),0)</f>
        <v>0.88</v>
      </c>
      <c r="N48" s="20" t="str">
        <f aca="false">COUNTA(E48:L48)&amp;"/8 fields"</f>
        <v>7/8 fields</v>
      </c>
      <c r="O48" s="21" t="s">
        <v>30</v>
      </c>
    </row>
    <row r="49" customFormat="false" ht="15.75" hidden="false" customHeight="true" outlineLevel="0" collapsed="false">
      <c r="A49" s="28" t="s">
        <v>80</v>
      </c>
      <c r="B49" s="28" t="s">
        <v>38</v>
      </c>
      <c r="C49" s="29" t="s">
        <v>81</v>
      </c>
      <c r="D49" s="29" t="s">
        <v>31</v>
      </c>
      <c r="E49" s="30" t="n">
        <v>147240</v>
      </c>
      <c r="F49" s="30" t="n">
        <v>769910</v>
      </c>
      <c r="G49" s="41" t="n">
        <v>3.9652</v>
      </c>
      <c r="H49" s="41" t="n">
        <v>0.079304</v>
      </c>
      <c r="I49" s="32" t="n">
        <v>0.02</v>
      </c>
      <c r="J49" s="32" t="n">
        <v>0.18</v>
      </c>
      <c r="K49" s="76"/>
      <c r="L49" s="33" t="n">
        <v>0</v>
      </c>
      <c r="M49" s="19" t="n">
        <f aca="false">IFERROR(ROUND(COUNTA(E49:L49)/8,2),0)</f>
        <v>0.88</v>
      </c>
      <c r="N49" s="20" t="str">
        <f aca="false">COUNTA(E49:L49)&amp;"/8 fields"</f>
        <v>7/8 fields</v>
      </c>
      <c r="O49" s="21" t="s">
        <v>30</v>
      </c>
    </row>
    <row r="50" customFormat="false" ht="15.75" hidden="false" customHeight="true" outlineLevel="0" collapsed="false">
      <c r="A50" s="77" t="s">
        <v>82</v>
      </c>
      <c r="B50" s="77" t="s">
        <v>83</v>
      </c>
      <c r="C50" s="77" t="s">
        <v>84</v>
      </c>
      <c r="D50" s="77" t="s">
        <v>29</v>
      </c>
      <c r="E50" s="78" t="n">
        <v>57100000</v>
      </c>
      <c r="F50" s="78" t="n">
        <v>65700000</v>
      </c>
      <c r="G50" s="78" t="n">
        <v>559</v>
      </c>
      <c r="H50" s="78"/>
      <c r="I50" s="78"/>
      <c r="J50" s="78" t="n">
        <v>0.13</v>
      </c>
      <c r="K50" s="78" t="n">
        <v>0.14</v>
      </c>
      <c r="L50" s="78" t="n">
        <v>1</v>
      </c>
      <c r="M50" s="79" t="n">
        <f aca="false">IFERROR(ROUND(COUNTA(E50:L50)/8,2),0)</f>
        <v>0.75</v>
      </c>
      <c r="N50" s="80" t="str">
        <f aca="false">COUNTA(E50:L50)&amp;"/8 fields"</f>
        <v>6/8 fields</v>
      </c>
      <c r="O50" s="81" t="s">
        <v>30</v>
      </c>
    </row>
    <row r="51" customFormat="false" ht="15.75" hidden="false" customHeight="true" outlineLevel="0" collapsed="false">
      <c r="A51" s="77" t="s">
        <v>82</v>
      </c>
      <c r="B51" s="77" t="s">
        <v>83</v>
      </c>
      <c r="C51" s="77" t="s">
        <v>84</v>
      </c>
      <c r="D51" s="77" t="s">
        <v>31</v>
      </c>
      <c r="E51" s="78" t="n">
        <v>61280000</v>
      </c>
      <c r="F51" s="78" t="n">
        <v>65840000</v>
      </c>
      <c r="G51" s="78" t="n">
        <v>648.72</v>
      </c>
      <c r="H51" s="78"/>
      <c r="I51" s="78"/>
      <c r="J51" s="78" t="n">
        <v>0.13</v>
      </c>
      <c r="K51" s="78" t="n">
        <v>0.2</v>
      </c>
      <c r="L51" s="78" t="n">
        <v>1</v>
      </c>
      <c r="M51" s="79" t="n">
        <f aca="false">IFERROR(ROUND(COUNTA(E51:L51)/8,2),0)</f>
        <v>0.75</v>
      </c>
      <c r="N51" s="80" t="str">
        <f aca="false">COUNTA(E51:L51)&amp;"/8 fields"</f>
        <v>6/8 fields</v>
      </c>
      <c r="O51" s="81" t="s">
        <v>30</v>
      </c>
    </row>
    <row r="52" customFormat="false" ht="15.75" hidden="false" customHeight="true" outlineLevel="0" collapsed="false">
      <c r="A52" s="82" t="s">
        <v>85</v>
      </c>
      <c r="B52" s="82" t="s">
        <v>83</v>
      </c>
      <c r="C52" s="82" t="s">
        <v>86</v>
      </c>
      <c r="D52" s="82" t="s">
        <v>29</v>
      </c>
      <c r="E52" s="78"/>
      <c r="F52" s="78" t="n">
        <v>29800000</v>
      </c>
      <c r="G52" s="78" t="n">
        <v>312.89</v>
      </c>
      <c r="H52" s="78" t="n">
        <v>0.91</v>
      </c>
      <c r="I52" s="78" t="n">
        <v>0.0029</v>
      </c>
      <c r="J52" s="78" t="n">
        <v>0.2</v>
      </c>
      <c r="K52" s="78" t="n">
        <v>0.0792</v>
      </c>
      <c r="L52" s="78" t="n">
        <v>0</v>
      </c>
      <c r="M52" s="79" t="n">
        <f aca="false">IFERROR(ROUND(COUNTA(E52:L52)/8,2),0)</f>
        <v>0.88</v>
      </c>
      <c r="N52" s="80" t="str">
        <f aca="false">COUNTA(E52:L52)&amp;"/8 fields"</f>
        <v>7/8 fields</v>
      </c>
      <c r="O52" s="81" t="s">
        <v>30</v>
      </c>
    </row>
    <row r="53" customFormat="false" ht="15.75" hidden="false" customHeight="true" outlineLevel="0" collapsed="false">
      <c r="A53" s="82" t="s">
        <v>85</v>
      </c>
      <c r="B53" s="82" t="s">
        <v>83</v>
      </c>
      <c r="C53" s="82" t="s">
        <v>86</v>
      </c>
      <c r="D53" s="82" t="s">
        <v>31</v>
      </c>
      <c r="E53" s="78"/>
      <c r="F53" s="78" t="n">
        <v>29960000</v>
      </c>
      <c r="G53" s="78" t="n">
        <v>320.91</v>
      </c>
      <c r="H53" s="78" t="n">
        <v>2.12</v>
      </c>
      <c r="I53" s="78" t="n">
        <v>0.0066</v>
      </c>
      <c r="J53" s="78" t="n">
        <v>0.2</v>
      </c>
      <c r="K53" s="78" t="n">
        <v>0.1292</v>
      </c>
      <c r="L53" s="78" t="n">
        <v>0</v>
      </c>
      <c r="M53" s="79" t="n">
        <f aca="false">IFERROR(ROUND(COUNTA(E53:L53)/8,2),0)</f>
        <v>0.88</v>
      </c>
      <c r="N53" s="80" t="str">
        <f aca="false">COUNTA(E53:L53)&amp;"/8 fields"</f>
        <v>7/8 fields</v>
      </c>
      <c r="O53" s="81" t="s">
        <v>30</v>
      </c>
    </row>
    <row r="54" customFormat="false" ht="15.75" hidden="false" customHeight="true" outlineLevel="0" collapsed="false">
      <c r="A54" s="82" t="s">
        <v>87</v>
      </c>
      <c r="B54" s="82" t="s">
        <v>88</v>
      </c>
      <c r="C54" s="82" t="s">
        <v>89</v>
      </c>
      <c r="D54" s="82" t="s">
        <v>29</v>
      </c>
      <c r="E54" s="78" t="n">
        <v>62530455</v>
      </c>
      <c r="F54" s="78" t="n">
        <v>64225491</v>
      </c>
      <c r="G54" s="78" t="n">
        <v>288.58</v>
      </c>
      <c r="H54" s="78" t="n">
        <v>1.245</v>
      </c>
      <c r="I54" s="78" t="n">
        <v>0.0043</v>
      </c>
      <c r="J54" s="78" t="n">
        <v>0.14</v>
      </c>
      <c r="K54" s="83" t="n">
        <v>0.05</v>
      </c>
      <c r="L54" s="78" t="n">
        <v>0</v>
      </c>
      <c r="M54" s="79" t="n">
        <f aca="false">IFERROR(ROUND(COUNTA(E54:L54)/8,2),0)</f>
        <v>1</v>
      </c>
      <c r="N54" s="80" t="str">
        <f aca="false">COUNTA(E54:L54)&amp;"/8 fields"</f>
        <v>8/8 fields</v>
      </c>
      <c r="O54" s="81" t="s">
        <v>90</v>
      </c>
    </row>
    <row r="55" customFormat="false" ht="15.75" hidden="false" customHeight="true" outlineLevel="0" collapsed="false">
      <c r="A55" s="82" t="s">
        <v>87</v>
      </c>
      <c r="B55" s="82" t="s">
        <v>88</v>
      </c>
      <c r="C55" s="82" t="s">
        <v>89</v>
      </c>
      <c r="D55" s="82" t="s">
        <v>31</v>
      </c>
      <c r="E55" s="78" t="n">
        <v>71237860</v>
      </c>
      <c r="F55" s="78" t="n">
        <v>73122247</v>
      </c>
      <c r="G55" s="78" t="n">
        <v>319.95</v>
      </c>
      <c r="H55" s="78" t="n">
        <v>7.858</v>
      </c>
      <c r="I55" s="78" t="n">
        <v>0.0246</v>
      </c>
      <c r="J55" s="78" t="n">
        <v>0.14</v>
      </c>
      <c r="K55" s="83" t="n">
        <v>0.05</v>
      </c>
      <c r="L55" s="78" t="n">
        <v>0</v>
      </c>
      <c r="M55" s="79" t="n">
        <f aca="false">IFERROR(ROUND(COUNTA(E55:L55)/8,2),0)</f>
        <v>1</v>
      </c>
      <c r="N55" s="80" t="str">
        <f aca="false">COUNTA(E55:L55)&amp;"/8 fields"</f>
        <v>8/8 fields</v>
      </c>
      <c r="O55" s="81" t="s">
        <v>90</v>
      </c>
    </row>
    <row r="56" customFormat="false" ht="15.75" hidden="false" customHeight="true" outlineLevel="0" collapsed="false">
      <c r="A56" s="84" t="s">
        <v>91</v>
      </c>
      <c r="B56" s="84" t="s">
        <v>88</v>
      </c>
      <c r="C56" s="84" t="s">
        <v>92</v>
      </c>
      <c r="D56" s="84" t="s">
        <v>29</v>
      </c>
      <c r="E56" s="78" t="n">
        <v>18335000</v>
      </c>
      <c r="F56" s="78" t="n">
        <v>18770000</v>
      </c>
      <c r="G56" s="78" t="n">
        <v>87.73</v>
      </c>
      <c r="H56" s="78" t="n">
        <v>5.664</v>
      </c>
      <c r="I56" s="78" t="n">
        <v>0.0646</v>
      </c>
      <c r="J56" s="78" t="n">
        <v>0.17</v>
      </c>
      <c r="K56" s="83" t="n">
        <v>0.05</v>
      </c>
      <c r="L56" s="78" t="n">
        <v>0</v>
      </c>
      <c r="M56" s="79" t="n">
        <f aca="false">IFERROR(ROUND(COUNTA(E56:L56)/8,2),0)</f>
        <v>1</v>
      </c>
      <c r="N56" s="80" t="str">
        <f aca="false">COUNTA(E56:L56)&amp;"/8 fields"</f>
        <v>8/8 fields</v>
      </c>
      <c r="O56" s="81" t="s">
        <v>90</v>
      </c>
    </row>
    <row r="57" customFormat="false" ht="15.75" hidden="false" customHeight="true" outlineLevel="0" collapsed="false">
      <c r="A57" s="84" t="s">
        <v>91</v>
      </c>
      <c r="B57" s="84" t="s">
        <v>88</v>
      </c>
      <c r="C57" s="84" t="s">
        <v>92</v>
      </c>
      <c r="D57" s="84" t="s">
        <v>31</v>
      </c>
      <c r="E57" s="78" t="n">
        <v>21946000</v>
      </c>
      <c r="F57" s="78" t="n">
        <v>22316000</v>
      </c>
      <c r="G57" s="78" t="n">
        <v>109.21</v>
      </c>
      <c r="H57" s="78" t="n">
        <v>6.498</v>
      </c>
      <c r="I57" s="78" t="n">
        <v>0.0595</v>
      </c>
      <c r="J57" s="78" t="n">
        <v>0.17</v>
      </c>
      <c r="K57" s="83" t="n">
        <v>0.05</v>
      </c>
      <c r="L57" s="78" t="n">
        <v>0</v>
      </c>
      <c r="M57" s="79" t="n">
        <f aca="false">IFERROR(ROUND(COUNTA(E57:L57)/8,2),0)</f>
        <v>1</v>
      </c>
      <c r="N57" s="80" t="str">
        <f aca="false">COUNTA(E57:L57)&amp;"/8 fields"</f>
        <v>8/8 fields</v>
      </c>
      <c r="O57" s="81" t="s">
        <v>90</v>
      </c>
    </row>
    <row r="58" customFormat="false" ht="15.75" hidden="false" customHeight="true" outlineLevel="0" collapsed="false">
      <c r="A58" s="85" t="s">
        <v>93</v>
      </c>
      <c r="B58" s="85" t="s">
        <v>94</v>
      </c>
      <c r="C58" s="85" t="s">
        <v>95</v>
      </c>
      <c r="D58" s="85" t="s">
        <v>29</v>
      </c>
      <c r="E58" s="78" t="n">
        <v>4720000</v>
      </c>
      <c r="F58" s="78" t="n">
        <v>6340000</v>
      </c>
      <c r="G58" s="78" t="n">
        <v>63.64</v>
      </c>
      <c r="H58" s="78" t="n">
        <v>3.54</v>
      </c>
      <c r="I58" s="78" t="n">
        <v>0.0556</v>
      </c>
      <c r="J58" s="78" t="n">
        <v>0.25</v>
      </c>
      <c r="K58" s="83" t="n">
        <v>0.05</v>
      </c>
      <c r="L58" s="78" t="n">
        <v>0</v>
      </c>
      <c r="M58" s="79" t="n">
        <f aca="false">IFERROR(ROUND(COUNTA(E58:L58)/8,2),0)</f>
        <v>1</v>
      </c>
      <c r="N58" s="80" t="str">
        <f aca="false">COUNTA(E58:L58)&amp;"/8 fields"</f>
        <v>8/8 fields</v>
      </c>
      <c r="O58" s="81" t="s">
        <v>90</v>
      </c>
    </row>
    <row r="59" customFormat="false" ht="15.75" hidden="false" customHeight="true" outlineLevel="0" collapsed="false">
      <c r="A59" s="85" t="s">
        <v>93</v>
      </c>
      <c r="B59" s="85" t="s">
        <v>94</v>
      </c>
      <c r="C59" s="85" t="s">
        <v>95</v>
      </c>
      <c r="D59" s="85" t="s">
        <v>31</v>
      </c>
      <c r="E59" s="78" t="n">
        <v>5310000</v>
      </c>
      <c r="F59" s="78" t="n">
        <v>6500000</v>
      </c>
      <c r="G59" s="78" t="n">
        <v>68.28</v>
      </c>
      <c r="H59" s="78" t="n">
        <v>4.58</v>
      </c>
      <c r="I59" s="78" t="n">
        <v>0.0671</v>
      </c>
      <c r="J59" s="78" t="n">
        <v>0.25</v>
      </c>
      <c r="K59" s="83" t="n">
        <v>0.05</v>
      </c>
      <c r="L59" s="78" t="n">
        <v>0</v>
      </c>
      <c r="M59" s="79" t="n">
        <f aca="false">IFERROR(ROUND(COUNTA(E59:L59)/8,2),0)</f>
        <v>1</v>
      </c>
      <c r="N59" s="80" t="str">
        <f aca="false">COUNTA(E59:L59)&amp;"/8 fields"</f>
        <v>8/8 fields</v>
      </c>
      <c r="O59" s="81" t="s">
        <v>90</v>
      </c>
    </row>
    <row r="60" customFormat="false" ht="15.75" hidden="false" customHeight="true" outlineLevel="0" collapsed="false">
      <c r="A60" s="85" t="s">
        <v>96</v>
      </c>
      <c r="B60" s="85" t="s">
        <v>97</v>
      </c>
      <c r="C60" s="85" t="s">
        <v>98</v>
      </c>
      <c r="D60" s="85" t="s">
        <v>29</v>
      </c>
      <c r="E60" s="78"/>
      <c r="F60" s="78" t="n">
        <v>10400000</v>
      </c>
      <c r="G60" s="78" t="n">
        <v>127.45</v>
      </c>
      <c r="H60" s="78" t="n">
        <v>0.125</v>
      </c>
      <c r="I60" s="78" t="n">
        <v>0.001</v>
      </c>
      <c r="J60" s="78" t="n">
        <v>0.17</v>
      </c>
      <c r="K60" s="83" t="n">
        <v>0.108</v>
      </c>
      <c r="L60" s="78" t="n">
        <v>1</v>
      </c>
      <c r="M60" s="79" t="n">
        <f aca="false">IFERROR(ROUND(COUNTA(E60:L60)/8,2),0)</f>
        <v>0.88</v>
      </c>
      <c r="N60" s="80" t="str">
        <f aca="false">COUNTA(E60:L60)&amp;"/8 fields"</f>
        <v>7/8 fields</v>
      </c>
      <c r="O60" s="81" t="s">
        <v>90</v>
      </c>
    </row>
    <row r="61" customFormat="false" ht="15.75" hidden="false" customHeight="true" outlineLevel="0" collapsed="false">
      <c r="A61" s="85" t="s">
        <v>96</v>
      </c>
      <c r="B61" s="85" t="s">
        <v>97</v>
      </c>
      <c r="C61" s="85" t="s">
        <v>98</v>
      </c>
      <c r="D61" s="85" t="s">
        <v>31</v>
      </c>
      <c r="E61" s="78"/>
      <c r="F61" s="78" t="n">
        <v>10530000</v>
      </c>
      <c r="G61" s="78" t="n">
        <v>126.94</v>
      </c>
      <c r="H61" s="78" t="n">
        <v>0.182</v>
      </c>
      <c r="I61" s="78" t="n">
        <v>0.0014</v>
      </c>
      <c r="J61" s="78" t="n">
        <v>0.17</v>
      </c>
      <c r="K61" s="83" t="n">
        <v>0.108</v>
      </c>
      <c r="L61" s="78" t="n">
        <v>1</v>
      </c>
      <c r="M61" s="79" t="n">
        <f aca="false">IFERROR(ROUND(COUNTA(E61:L61)/8,2),0)</f>
        <v>0.88</v>
      </c>
      <c r="N61" s="80" t="str">
        <f aca="false">COUNTA(E61:L61)&amp;"/8 fields"</f>
        <v>7/8 fields</v>
      </c>
      <c r="O61" s="81" t="s">
        <v>90</v>
      </c>
    </row>
    <row r="62" customFormat="false" ht="15.75" hidden="false" customHeight="true" outlineLevel="0" collapsed="false">
      <c r="A62" s="86" t="s">
        <v>99</v>
      </c>
      <c r="B62" s="86" t="s">
        <v>97</v>
      </c>
      <c r="C62" s="86" t="s">
        <v>100</v>
      </c>
      <c r="D62" s="86" t="s">
        <v>29</v>
      </c>
      <c r="E62" s="78" t="n">
        <v>20210000</v>
      </c>
      <c r="F62" s="78" t="n">
        <v>20840000</v>
      </c>
      <c r="G62" s="78" t="n">
        <v>302.31</v>
      </c>
      <c r="H62" s="78" t="n">
        <v>0.395</v>
      </c>
      <c r="I62" s="78" t="n">
        <v>0.0013</v>
      </c>
      <c r="J62" s="78" t="n">
        <v>0.125</v>
      </c>
      <c r="K62" s="78" t="n">
        <v>0.108</v>
      </c>
      <c r="L62" s="78" t="n">
        <v>1</v>
      </c>
      <c r="M62" s="79" t="n">
        <f aca="false">IFERROR(ROUND(COUNTA(E62:L62)/8,2),0)</f>
        <v>1</v>
      </c>
      <c r="N62" s="80" t="str">
        <f aca="false">COUNTA(E62:L62)&amp;"/8 fields"</f>
        <v>8/8 fields</v>
      </c>
      <c r="O62" s="81" t="s">
        <v>30</v>
      </c>
    </row>
    <row r="63" customFormat="false" ht="15.75" hidden="false" customHeight="true" outlineLevel="0" collapsed="false">
      <c r="A63" s="86" t="s">
        <v>99</v>
      </c>
      <c r="B63" s="86" t="s">
        <v>97</v>
      </c>
      <c r="C63" s="86" t="s">
        <v>100</v>
      </c>
      <c r="D63" s="86" t="s">
        <v>31</v>
      </c>
      <c r="E63" s="78" t="n">
        <v>22000000</v>
      </c>
      <c r="F63" s="78" t="n">
        <v>22760000</v>
      </c>
      <c r="G63" s="78" t="n">
        <v>325.93</v>
      </c>
      <c r="H63" s="78" t="n">
        <v>0.228</v>
      </c>
      <c r="I63" s="78" t="n">
        <v>0.0007</v>
      </c>
      <c r="J63" s="78" t="n">
        <v>0.125</v>
      </c>
      <c r="K63" s="78" t="n">
        <v>0.108</v>
      </c>
      <c r="L63" s="78" t="n">
        <v>1</v>
      </c>
      <c r="M63" s="79" t="n">
        <f aca="false">IFERROR(ROUND(COUNTA(E63:L63)/8,2),0)</f>
        <v>1</v>
      </c>
      <c r="N63" s="80" t="str">
        <f aca="false">COUNTA(E63:L63)&amp;"/8 fields"</f>
        <v>8/8 fields</v>
      </c>
      <c r="O63" s="81" t="s">
        <v>30</v>
      </c>
    </row>
    <row r="64" customFormat="false" ht="15.75" hidden="false" customHeight="true" outlineLevel="0" collapsed="false">
      <c r="A64" s="87" t="s">
        <v>101</v>
      </c>
      <c r="B64" s="87" t="s">
        <v>102</v>
      </c>
      <c r="C64" s="87" t="s">
        <v>103</v>
      </c>
      <c r="D64" s="87" t="s">
        <v>29</v>
      </c>
      <c r="E64" s="78" t="n">
        <v>316</v>
      </c>
      <c r="F64" s="88" t="n">
        <v>26979</v>
      </c>
      <c r="G64" s="88" t="n">
        <v>0.127</v>
      </c>
      <c r="H64" s="78" t="n">
        <v>0.088</v>
      </c>
      <c r="I64" s="78" t="n">
        <v>0.6945</v>
      </c>
      <c r="J64" s="78"/>
      <c r="K64" s="78"/>
      <c r="L64" s="78" t="n">
        <v>0</v>
      </c>
      <c r="M64" s="79" t="n">
        <f aca="false">IFERROR(ROUND(COUNTA(E64:L64)/8,2),0)</f>
        <v>0.75</v>
      </c>
      <c r="N64" s="80" t="str">
        <f aca="false">COUNTA(E64:L64)&amp;"/8 fields"</f>
        <v>6/8 fields</v>
      </c>
      <c r="O64" s="89" t="s">
        <v>104</v>
      </c>
    </row>
    <row r="65" customFormat="false" ht="15.75" hidden="false" customHeight="true" outlineLevel="0" collapsed="false">
      <c r="A65" s="87" t="s">
        <v>101</v>
      </c>
      <c r="B65" s="87" t="s">
        <v>102</v>
      </c>
      <c r="C65" s="87" t="s">
        <v>103</v>
      </c>
      <c r="D65" s="87" t="s">
        <v>31</v>
      </c>
      <c r="E65" s="78" t="n">
        <v>818</v>
      </c>
      <c r="F65" s="88" t="n">
        <v>26979</v>
      </c>
      <c r="G65" s="88" t="n">
        <v>0.127</v>
      </c>
      <c r="H65" s="78" t="n">
        <v>0.098</v>
      </c>
      <c r="I65" s="78" t="n">
        <v>0.7701</v>
      </c>
      <c r="J65" s="78"/>
      <c r="K65" s="78"/>
      <c r="L65" s="78" t="n">
        <v>0</v>
      </c>
      <c r="M65" s="79" t="n">
        <f aca="false">IFERROR(ROUND(COUNTA(E65:L65)/8,2),0)</f>
        <v>0.75</v>
      </c>
      <c r="N65" s="80" t="str">
        <f aca="false">COUNTA(E65:L65)&amp;"/8 fields"</f>
        <v>6/8 fields</v>
      </c>
      <c r="O65" s="89" t="s">
        <v>104</v>
      </c>
    </row>
    <row r="66" customFormat="false" ht="15.75" hidden="false" customHeight="true" outlineLevel="0" collapsed="false">
      <c r="A66" s="90" t="s">
        <v>105</v>
      </c>
      <c r="B66" s="90" t="s">
        <v>88</v>
      </c>
      <c r="C66" s="90" t="s">
        <v>106</v>
      </c>
      <c r="D66" s="90" t="s">
        <v>29</v>
      </c>
      <c r="E66" s="78" t="n">
        <v>17467685</v>
      </c>
      <c r="F66" s="78" t="n">
        <v>18122478</v>
      </c>
      <c r="G66" s="88" t="n">
        <v>86.696</v>
      </c>
      <c r="H66" s="78"/>
      <c r="I66" s="78"/>
      <c r="J66" s="78"/>
      <c r="K66" s="78"/>
      <c r="L66" s="78" t="n">
        <v>0</v>
      </c>
      <c r="M66" s="79" t="n">
        <f aca="false">IFERROR(ROUND(COUNTA(E66:L66)/8,2),0)</f>
        <v>0.5</v>
      </c>
      <c r="N66" s="80" t="str">
        <f aca="false">COUNTA(E66:L66)&amp;"/8 fields"</f>
        <v>4/8 fields</v>
      </c>
      <c r="O66" s="89" t="s">
        <v>104</v>
      </c>
    </row>
    <row r="67" customFormat="false" ht="15.75" hidden="false" customHeight="true" outlineLevel="0" collapsed="false">
      <c r="A67" s="90" t="s">
        <v>105</v>
      </c>
      <c r="B67" s="90" t="s">
        <v>88</v>
      </c>
      <c r="C67" s="90" t="s">
        <v>106</v>
      </c>
      <c r="D67" s="90" t="s">
        <v>31</v>
      </c>
      <c r="E67" s="78" t="n">
        <v>14800767</v>
      </c>
      <c r="F67" s="78" t="n">
        <v>15402513</v>
      </c>
      <c r="G67" s="88" t="n">
        <v>73.684</v>
      </c>
      <c r="H67" s="78" t="n">
        <v>4.928</v>
      </c>
      <c r="I67" s="78" t="n">
        <v>0.0669</v>
      </c>
      <c r="J67" s="78"/>
      <c r="K67" s="78"/>
      <c r="L67" s="78" t="n">
        <v>0</v>
      </c>
      <c r="M67" s="79" t="n">
        <f aca="false">IFERROR(ROUND(COUNTA(E67:L67)/8,2),0)</f>
        <v>0.75</v>
      </c>
      <c r="N67" s="80" t="str">
        <f aca="false">COUNTA(E67:L67)&amp;"/8 fields"</f>
        <v>6/8 fields</v>
      </c>
      <c r="O67" s="89" t="s">
        <v>104</v>
      </c>
    </row>
    <row r="68" customFormat="false" ht="15.75" hidden="false" customHeight="true" outlineLevel="0" collapsed="false">
      <c r="A68" s="90" t="s">
        <v>107</v>
      </c>
      <c r="B68" s="90" t="s">
        <v>27</v>
      </c>
      <c r="C68" s="90" t="s">
        <v>108</v>
      </c>
      <c r="D68" s="90" t="s">
        <v>29</v>
      </c>
      <c r="E68" s="78" t="n">
        <v>787145</v>
      </c>
      <c r="F68" s="78" t="n">
        <v>954308</v>
      </c>
      <c r="G68" s="78" t="n">
        <v>4.16</v>
      </c>
      <c r="H68" s="78"/>
      <c r="I68" s="78"/>
      <c r="J68" s="78"/>
      <c r="K68" s="78"/>
      <c r="L68" s="78" t="n">
        <v>0</v>
      </c>
      <c r="M68" s="79" t="n">
        <f aca="false">IFERROR(ROUND(COUNTA(E68:L68)/8,2),0)</f>
        <v>0.5</v>
      </c>
      <c r="N68" s="80" t="str">
        <f aca="false">COUNTA(E68:L68)&amp;"/8 fields"</f>
        <v>4/8 fields</v>
      </c>
      <c r="O68" s="81" t="s">
        <v>109</v>
      </c>
    </row>
    <row r="69" customFormat="false" ht="15.75" hidden="false" customHeight="true" outlineLevel="0" collapsed="false">
      <c r="A69" s="90" t="s">
        <v>107</v>
      </c>
      <c r="B69" s="90" t="s">
        <v>27</v>
      </c>
      <c r="C69" s="90" t="s">
        <v>108</v>
      </c>
      <c r="D69" s="90" t="s">
        <v>31</v>
      </c>
      <c r="E69" s="78" t="n">
        <v>790770</v>
      </c>
      <c r="F69" s="78" t="n">
        <v>1089646</v>
      </c>
      <c r="G69" s="91" t="n">
        <v>4.16</v>
      </c>
      <c r="H69" s="78" t="n">
        <v>0.511</v>
      </c>
      <c r="I69" s="78" t="n">
        <v>0.1229</v>
      </c>
      <c r="J69" s="78"/>
      <c r="K69" s="78" t="n">
        <v>0.0031</v>
      </c>
      <c r="L69" s="78" t="n">
        <v>0</v>
      </c>
      <c r="M69" s="79" t="n">
        <f aca="false">IFERROR(ROUND(COUNTA(E69:L69)/8,2),0)</f>
        <v>0.88</v>
      </c>
      <c r="N69" s="80" t="str">
        <f aca="false">COUNTA(E69:L69)&amp;"/8 fields"</f>
        <v>7/8 fields</v>
      </c>
      <c r="O69" s="92" t="s">
        <v>110</v>
      </c>
    </row>
    <row r="70" customFormat="false" ht="15.75" hidden="false" customHeight="true" outlineLevel="0" collapsed="false">
      <c r="A70" s="87" t="s">
        <v>111</v>
      </c>
      <c r="B70" s="87" t="s">
        <v>27</v>
      </c>
      <c r="C70" s="87" t="s">
        <v>112</v>
      </c>
      <c r="D70" s="87" t="s">
        <v>29</v>
      </c>
      <c r="E70" s="78" t="n">
        <v>711</v>
      </c>
      <c r="F70" s="78" t="n">
        <v>32599</v>
      </c>
      <c r="G70" s="78" t="n">
        <v>1.245</v>
      </c>
      <c r="H70" s="78" t="n">
        <v>1.07</v>
      </c>
      <c r="I70" s="78" t="n">
        <v>0.8596</v>
      </c>
      <c r="J70" s="78"/>
      <c r="K70" s="78"/>
      <c r="L70" s="78" t="n">
        <v>0</v>
      </c>
      <c r="M70" s="79" t="n">
        <f aca="false">IFERROR(ROUND(COUNTA(E70:L70)/8,2),0)</f>
        <v>0.75</v>
      </c>
      <c r="N70" s="80" t="str">
        <f aca="false">COUNTA(E70:L70)&amp;"/8 fields"</f>
        <v>6/8 fields</v>
      </c>
      <c r="O70" s="81" t="s">
        <v>109</v>
      </c>
    </row>
    <row r="71" customFormat="false" ht="15.75" hidden="false" customHeight="true" outlineLevel="0" collapsed="false">
      <c r="A71" s="87" t="s">
        <v>111</v>
      </c>
      <c r="B71" s="87" t="s">
        <v>27</v>
      </c>
      <c r="C71" s="87" t="s">
        <v>112</v>
      </c>
      <c r="D71" s="87" t="s">
        <v>31</v>
      </c>
      <c r="E71" s="78" t="n">
        <v>3019</v>
      </c>
      <c r="F71" s="78" t="n">
        <v>39619</v>
      </c>
      <c r="G71" s="91" t="n">
        <v>1.245</v>
      </c>
      <c r="H71" s="78"/>
      <c r="I71" s="78"/>
      <c r="J71" s="78"/>
      <c r="K71" s="78"/>
      <c r="L71" s="78" t="n">
        <v>0</v>
      </c>
      <c r="M71" s="79" t="n">
        <f aca="false">IFERROR(ROUND(COUNTA(E71:L71)/8,2),0)</f>
        <v>0.5</v>
      </c>
      <c r="N71" s="80" t="str">
        <f aca="false">COUNTA(E71:L71)&amp;"/8 fields"</f>
        <v>4/8 fields</v>
      </c>
      <c r="O71" s="92" t="s">
        <v>110</v>
      </c>
    </row>
    <row r="72" customFormat="false" ht="15.75" hidden="false" customHeight="true" outlineLevel="0" collapsed="false">
      <c r="A72" s="87" t="s">
        <v>113</v>
      </c>
      <c r="B72" s="87" t="s">
        <v>102</v>
      </c>
      <c r="C72" s="87" t="s">
        <v>114</v>
      </c>
      <c r="D72" s="87" t="s">
        <v>29</v>
      </c>
      <c r="E72" s="78"/>
      <c r="F72" s="91" t="n">
        <v>469625</v>
      </c>
      <c r="G72" s="78" t="n">
        <v>3.013</v>
      </c>
      <c r="H72" s="78" t="n">
        <v>0.194</v>
      </c>
      <c r="I72" s="78" t="n">
        <v>0.0643</v>
      </c>
      <c r="J72" s="78"/>
      <c r="K72" s="78"/>
      <c r="L72" s="78" t="n">
        <v>0</v>
      </c>
      <c r="M72" s="79" t="n">
        <f aca="false">IFERROR(ROUND(COUNTA(E72:L72)/8,2),0)</f>
        <v>0.63</v>
      </c>
      <c r="N72" s="80" t="str">
        <f aca="false">COUNTA(E72:L72)&amp;"/8 fields"</f>
        <v>5/8 fields</v>
      </c>
      <c r="O72" s="92" t="s">
        <v>110</v>
      </c>
    </row>
    <row r="73" customFormat="false" ht="15.75" hidden="false" customHeight="true" outlineLevel="0" collapsed="false">
      <c r="A73" s="87" t="s">
        <v>113</v>
      </c>
      <c r="B73" s="87" t="s">
        <v>102</v>
      </c>
      <c r="C73" s="87" t="s">
        <v>114</v>
      </c>
      <c r="D73" s="87" t="s">
        <v>31</v>
      </c>
      <c r="E73" s="78" t="n">
        <v>126197</v>
      </c>
      <c r="F73" s="78" t="n">
        <v>469625</v>
      </c>
      <c r="G73" s="91" t="n">
        <v>3.013</v>
      </c>
      <c r="H73" s="78" t="n">
        <v>0</v>
      </c>
      <c r="I73" s="78" t="n">
        <v>0.0001</v>
      </c>
      <c r="J73" s="78"/>
      <c r="K73" s="78"/>
      <c r="L73" s="78" t="n">
        <v>0</v>
      </c>
      <c r="M73" s="79" t="n">
        <f aca="false">IFERROR(ROUND(COUNTA(E73:L73)/8,2),0)</f>
        <v>0.75</v>
      </c>
      <c r="N73" s="80" t="str">
        <f aca="false">COUNTA(E73:L73)&amp;"/8 fields"</f>
        <v>6/8 fields</v>
      </c>
      <c r="O73" s="92" t="s">
        <v>110</v>
      </c>
    </row>
    <row r="74" customFormat="false" ht="15.75" hidden="false" customHeight="true" outlineLevel="0" collapsed="false">
      <c r="A74" s="77" t="s">
        <v>115</v>
      </c>
      <c r="B74" s="77" t="s">
        <v>116</v>
      </c>
      <c r="C74" s="77" t="s">
        <v>117</v>
      </c>
      <c r="D74" s="77" t="s">
        <v>29</v>
      </c>
      <c r="E74" s="78" t="n">
        <v>26461</v>
      </c>
      <c r="F74" s="78" t="n">
        <v>118278</v>
      </c>
      <c r="G74" s="88" t="n">
        <v>0.816</v>
      </c>
      <c r="H74" s="78" t="n">
        <v>0.166</v>
      </c>
      <c r="I74" s="78" t="n">
        <v>0.2038</v>
      </c>
      <c r="J74" s="78"/>
      <c r="K74" s="78"/>
      <c r="L74" s="78" t="n">
        <v>0</v>
      </c>
      <c r="M74" s="79" t="n">
        <f aca="false">IFERROR(ROUND(COUNTA(E74:L74)/8,2),0)</f>
        <v>0.75</v>
      </c>
      <c r="N74" s="80" t="str">
        <f aca="false">COUNTA(E74:L74)&amp;"/8 fields"</f>
        <v>6/8 fields</v>
      </c>
      <c r="O74" s="89" t="s">
        <v>104</v>
      </c>
    </row>
    <row r="75" customFormat="false" ht="15.75" hidden="false" customHeight="true" outlineLevel="0" collapsed="false">
      <c r="A75" s="77" t="s">
        <v>115</v>
      </c>
      <c r="B75" s="77" t="s">
        <v>116</v>
      </c>
      <c r="C75" s="77" t="s">
        <v>117</v>
      </c>
      <c r="D75" s="77" t="s">
        <v>31</v>
      </c>
      <c r="E75" s="78" t="n">
        <v>19249</v>
      </c>
      <c r="F75" s="78" t="n">
        <v>101568</v>
      </c>
      <c r="G75" s="88" t="n">
        <v>0.701</v>
      </c>
      <c r="H75" s="78" t="n">
        <v>0.117</v>
      </c>
      <c r="I75" s="78" t="n">
        <v>0.1665</v>
      </c>
      <c r="J75" s="78"/>
      <c r="K75" s="78" t="n">
        <v>0.002</v>
      </c>
      <c r="L75" s="78" t="n">
        <v>0</v>
      </c>
      <c r="M75" s="79" t="n">
        <f aca="false">IFERROR(ROUND(COUNTA(E75:L75)/8,2),0)</f>
        <v>0.88</v>
      </c>
      <c r="N75" s="80" t="str">
        <f aca="false">COUNTA(E75:L75)&amp;"/8 fields"</f>
        <v>7/8 fields</v>
      </c>
      <c r="O75" s="89" t="s">
        <v>104</v>
      </c>
    </row>
    <row r="76" customFormat="false" ht="15.75" hidden="false" customHeight="true" outlineLevel="0" collapsed="false">
      <c r="A76" s="77" t="s">
        <v>118</v>
      </c>
      <c r="B76" s="77" t="s">
        <v>88</v>
      </c>
      <c r="C76" s="77" t="s">
        <v>119</v>
      </c>
      <c r="D76" s="77" t="s">
        <v>29</v>
      </c>
      <c r="E76" s="78" t="n">
        <v>20000839</v>
      </c>
      <c r="F76" s="78" t="n">
        <v>20715844</v>
      </c>
      <c r="G76" s="88" t="n">
        <v>99.102</v>
      </c>
      <c r="H76" s="78"/>
      <c r="I76" s="78"/>
      <c r="J76" s="78"/>
      <c r="K76" s="78"/>
      <c r="L76" s="78" t="n">
        <v>0</v>
      </c>
      <c r="M76" s="79" t="n">
        <f aca="false">IFERROR(ROUND(COUNTA(E76:L76)/8,2),0)</f>
        <v>0.5</v>
      </c>
      <c r="N76" s="80" t="str">
        <f aca="false">COUNTA(E76:L76)&amp;"/8 fields"</f>
        <v>4/8 fields</v>
      </c>
      <c r="O76" s="89" t="s">
        <v>104</v>
      </c>
    </row>
    <row r="77" customFormat="false" ht="15.75" hidden="false" customHeight="true" outlineLevel="0" collapsed="false">
      <c r="A77" s="77" t="s">
        <v>118</v>
      </c>
      <c r="B77" s="77" t="s">
        <v>88</v>
      </c>
      <c r="C77" s="77" t="s">
        <v>119</v>
      </c>
      <c r="D77" s="77" t="s">
        <v>31</v>
      </c>
      <c r="E77" s="78"/>
      <c r="F77" s="91" t="n">
        <v>20715844</v>
      </c>
      <c r="G77" s="88" t="n">
        <v>99.102</v>
      </c>
      <c r="H77" s="78" t="n">
        <v>4.828</v>
      </c>
      <c r="I77" s="78" t="n">
        <v>0.0487</v>
      </c>
      <c r="J77" s="78"/>
      <c r="K77" s="78"/>
      <c r="L77" s="78" t="n">
        <v>0</v>
      </c>
      <c r="M77" s="79" t="n">
        <f aca="false">IFERROR(ROUND(COUNTA(E77:L77)/8,2),0)</f>
        <v>0.63</v>
      </c>
      <c r="N77" s="80" t="str">
        <f aca="false">COUNTA(E77:L77)&amp;"/8 fields"</f>
        <v>5/8 fields</v>
      </c>
      <c r="O77" s="89" t="s">
        <v>104</v>
      </c>
    </row>
    <row r="78" customFormat="false" ht="15.75" hidden="false" customHeight="true" outlineLevel="0" collapsed="false">
      <c r="A78" s="77" t="s">
        <v>120</v>
      </c>
      <c r="B78" s="77" t="s">
        <v>121</v>
      </c>
      <c r="C78" s="77" t="s">
        <v>122</v>
      </c>
      <c r="D78" s="77" t="s">
        <v>29</v>
      </c>
      <c r="E78" s="78"/>
      <c r="F78" s="88" t="n">
        <v>34339</v>
      </c>
      <c r="G78" s="78" t="n">
        <v>0.004</v>
      </c>
      <c r="H78" s="78"/>
      <c r="I78" s="78"/>
      <c r="J78" s="78"/>
      <c r="K78" s="78"/>
      <c r="L78" s="78" t="n">
        <v>0</v>
      </c>
      <c r="M78" s="79" t="n">
        <f aca="false">IFERROR(ROUND(COUNTA(E78:L78)/8,2),0)</f>
        <v>0.38</v>
      </c>
      <c r="N78" s="80" t="str">
        <f aca="false">COUNTA(E78:L78)&amp;"/8 fields"</f>
        <v>3/8 fields</v>
      </c>
      <c r="O78" s="89" t="s">
        <v>104</v>
      </c>
    </row>
    <row r="79" customFormat="false" ht="15.75" hidden="false" customHeight="true" outlineLevel="0" collapsed="false">
      <c r="A79" s="77" t="s">
        <v>120</v>
      </c>
      <c r="B79" s="77" t="s">
        <v>121</v>
      </c>
      <c r="C79" s="77" t="s">
        <v>122</v>
      </c>
      <c r="D79" s="77" t="s">
        <v>31</v>
      </c>
      <c r="E79" s="78"/>
      <c r="F79" s="88" t="n">
        <v>34339</v>
      </c>
      <c r="G79" s="91" t="n">
        <v>0.004</v>
      </c>
      <c r="H79" s="78"/>
      <c r="I79" s="78"/>
      <c r="J79" s="78"/>
      <c r="K79" s="78" t="n">
        <v>0.0008</v>
      </c>
      <c r="L79" s="78" t="n">
        <v>0</v>
      </c>
      <c r="M79" s="79" t="n">
        <f aca="false">IFERROR(ROUND(COUNTA(E79:L79)/8,2),0)</f>
        <v>0.5</v>
      </c>
      <c r="N79" s="80" t="str">
        <f aca="false">COUNTA(E79:L79)&amp;"/8 fields"</f>
        <v>4/8 fields</v>
      </c>
      <c r="O79" s="89" t="s">
        <v>104</v>
      </c>
    </row>
    <row r="80" customFormat="false" ht="15.75" hidden="false" customHeight="true" outlineLevel="0" collapsed="false">
      <c r="A80" s="77" t="s">
        <v>123</v>
      </c>
      <c r="B80" s="77" t="s">
        <v>116</v>
      </c>
      <c r="C80" s="77" t="s">
        <v>124</v>
      </c>
      <c r="D80" s="77" t="s">
        <v>29</v>
      </c>
      <c r="E80" s="78"/>
      <c r="F80" s="91" t="n">
        <v>834308</v>
      </c>
      <c r="G80" s="88" t="n">
        <v>5.755</v>
      </c>
      <c r="H80" s="78"/>
      <c r="I80" s="78"/>
      <c r="J80" s="78"/>
      <c r="K80" s="78"/>
      <c r="L80" s="78" t="n">
        <v>0</v>
      </c>
      <c r="M80" s="79" t="n">
        <f aca="false">IFERROR(ROUND(COUNTA(E80:L80)/8,2),0)</f>
        <v>0.38</v>
      </c>
      <c r="N80" s="80" t="str">
        <f aca="false">COUNTA(E80:L80)&amp;"/8 fields"</f>
        <v>3/8 fields</v>
      </c>
      <c r="O80" s="89" t="s">
        <v>104</v>
      </c>
    </row>
    <row r="81" customFormat="false" ht="15.75" hidden="false" customHeight="true" outlineLevel="0" collapsed="false">
      <c r="A81" s="77" t="s">
        <v>123</v>
      </c>
      <c r="B81" s="77" t="s">
        <v>116</v>
      </c>
      <c r="C81" s="77" t="s">
        <v>124</v>
      </c>
      <c r="D81" s="77" t="s">
        <v>31</v>
      </c>
      <c r="E81" s="78" t="n">
        <v>731919</v>
      </c>
      <c r="F81" s="78" t="n">
        <v>834308</v>
      </c>
      <c r="G81" s="88" t="n">
        <v>5.755</v>
      </c>
      <c r="H81" s="78" t="n">
        <v>0.201</v>
      </c>
      <c r="I81" s="78" t="n">
        <v>0.0349</v>
      </c>
      <c r="J81" s="78"/>
      <c r="K81" s="78" t="n">
        <v>0.0009</v>
      </c>
      <c r="L81" s="78" t="n">
        <v>0</v>
      </c>
      <c r="M81" s="79" t="n">
        <f aca="false">IFERROR(ROUND(COUNTA(E81:L81)/8,2),0)</f>
        <v>0.88</v>
      </c>
      <c r="N81" s="80" t="str">
        <f aca="false">COUNTA(E81:L81)&amp;"/8 fields"</f>
        <v>7/8 fields</v>
      </c>
      <c r="O81" s="89" t="s">
        <v>104</v>
      </c>
    </row>
    <row r="82" customFormat="false" ht="15.75" hidden="false" customHeight="true" outlineLevel="0" collapsed="false">
      <c r="A82" s="77" t="s">
        <v>125</v>
      </c>
      <c r="B82" s="77" t="s">
        <v>56</v>
      </c>
      <c r="C82" s="77" t="s">
        <v>126</v>
      </c>
      <c r="D82" s="77" t="s">
        <v>29</v>
      </c>
      <c r="E82" s="78" t="n">
        <v>33568</v>
      </c>
      <c r="F82" s="78" t="n">
        <v>131515</v>
      </c>
      <c r="G82" s="88" t="n">
        <v>1.405</v>
      </c>
      <c r="H82" s="78" t="n">
        <v>0.001</v>
      </c>
      <c r="I82" s="78" t="n">
        <v>0.0005</v>
      </c>
      <c r="J82" s="78"/>
      <c r="K82" s="78"/>
      <c r="L82" s="78" t="n">
        <v>0</v>
      </c>
      <c r="M82" s="79" t="n">
        <f aca="false">IFERROR(ROUND(COUNTA(E82:L82)/8,2),0)</f>
        <v>0.75</v>
      </c>
      <c r="N82" s="80" t="str">
        <f aca="false">COUNTA(E82:L82)&amp;"/8 fields"</f>
        <v>6/8 fields</v>
      </c>
      <c r="O82" s="89" t="s">
        <v>104</v>
      </c>
    </row>
    <row r="83" customFormat="false" ht="15.75" hidden="false" customHeight="true" outlineLevel="0" collapsed="false">
      <c r="A83" s="77" t="s">
        <v>125</v>
      </c>
      <c r="B83" s="77" t="s">
        <v>56</v>
      </c>
      <c r="C83" s="77" t="s">
        <v>126</v>
      </c>
      <c r="D83" s="77" t="s">
        <v>31</v>
      </c>
      <c r="E83" s="78" t="n">
        <v>33110</v>
      </c>
      <c r="F83" s="78" t="n">
        <v>123464</v>
      </c>
      <c r="G83" s="88" t="n">
        <v>1.319</v>
      </c>
      <c r="H83" s="78" t="n">
        <v>0.001</v>
      </c>
      <c r="I83" s="78" t="n">
        <v>0.0005</v>
      </c>
      <c r="J83" s="78"/>
      <c r="K83" s="78"/>
      <c r="L83" s="78" t="n">
        <v>0</v>
      </c>
      <c r="M83" s="79" t="n">
        <f aca="false">IFERROR(ROUND(COUNTA(E83:L83)/8,2),0)</f>
        <v>0.75</v>
      </c>
      <c r="N83" s="80" t="str">
        <f aca="false">COUNTA(E83:L83)&amp;"/8 fields"</f>
        <v>6/8 fields</v>
      </c>
      <c r="O83" s="89" t="s">
        <v>104</v>
      </c>
    </row>
    <row r="84" customFormat="false" ht="15.75" hidden="false" customHeight="true" outlineLevel="0" collapsed="false">
      <c r="A84" s="82" t="s">
        <v>127</v>
      </c>
      <c r="B84" s="82" t="s">
        <v>116</v>
      </c>
      <c r="C84" s="82" t="s">
        <v>128</v>
      </c>
      <c r="D84" s="82" t="s">
        <v>29</v>
      </c>
      <c r="E84" s="78" t="n">
        <v>414356</v>
      </c>
      <c r="F84" s="78" t="n">
        <v>967471</v>
      </c>
      <c r="G84" s="88" t="n">
        <v>6.674</v>
      </c>
      <c r="H84" s="78" t="n">
        <v>0.813</v>
      </c>
      <c r="I84" s="78" t="n">
        <v>0.1218</v>
      </c>
      <c r="J84" s="78"/>
      <c r="K84" s="78"/>
      <c r="L84" s="78" t="n">
        <v>0</v>
      </c>
      <c r="M84" s="79" t="n">
        <f aca="false">IFERROR(ROUND(COUNTA(E84:L84)/8,2),0)</f>
        <v>0.75</v>
      </c>
      <c r="N84" s="80" t="str">
        <f aca="false">COUNTA(E84:L84)&amp;"/8 fields"</f>
        <v>6/8 fields</v>
      </c>
      <c r="O84" s="89" t="s">
        <v>104</v>
      </c>
    </row>
    <row r="85" customFormat="false" ht="15.75" hidden="false" customHeight="true" outlineLevel="0" collapsed="false">
      <c r="A85" s="82" t="s">
        <v>127</v>
      </c>
      <c r="B85" s="82" t="s">
        <v>116</v>
      </c>
      <c r="C85" s="82" t="s">
        <v>128</v>
      </c>
      <c r="D85" s="82" t="s">
        <v>31</v>
      </c>
      <c r="E85" s="78"/>
      <c r="F85" s="91" t="n">
        <v>967471</v>
      </c>
      <c r="G85" s="88" t="n">
        <v>6.674</v>
      </c>
      <c r="H85" s="78"/>
      <c r="I85" s="78"/>
      <c r="J85" s="78"/>
      <c r="K85" s="78"/>
      <c r="L85" s="78" t="n">
        <v>0</v>
      </c>
      <c r="M85" s="79" t="n">
        <f aca="false">IFERROR(ROUND(COUNTA(E85:L85)/8,2),0)</f>
        <v>0.38</v>
      </c>
      <c r="N85" s="80" t="str">
        <f aca="false">COUNTA(E85:L85)&amp;"/8 fields"</f>
        <v>3/8 fields</v>
      </c>
      <c r="O85" s="89" t="s">
        <v>104</v>
      </c>
    </row>
    <row r="86" customFormat="false" ht="15.75" hidden="false" customHeight="true" outlineLevel="0" collapsed="false">
      <c r="A86" s="93" t="s">
        <v>129</v>
      </c>
      <c r="B86" s="93" t="s">
        <v>121</v>
      </c>
      <c r="C86" s="93" t="s">
        <v>130</v>
      </c>
      <c r="D86" s="93" t="s">
        <v>29</v>
      </c>
      <c r="E86" s="78"/>
      <c r="F86" s="88" t="n">
        <v>34339</v>
      </c>
      <c r="G86" s="88" t="n">
        <v>0.167</v>
      </c>
      <c r="H86" s="78"/>
      <c r="I86" s="78"/>
      <c r="J86" s="78"/>
      <c r="K86" s="78"/>
      <c r="L86" s="78" t="n">
        <v>0</v>
      </c>
      <c r="M86" s="79" t="n">
        <f aca="false">IFERROR(ROUND(COUNTA(E86:L86)/8,2),0)</f>
        <v>0.38</v>
      </c>
      <c r="N86" s="80" t="str">
        <f aca="false">COUNTA(E86:L86)&amp;"/8 fields"</f>
        <v>3/8 fields</v>
      </c>
      <c r="O86" s="89" t="s">
        <v>104</v>
      </c>
    </row>
    <row r="87" customFormat="false" ht="15.75" hidden="false" customHeight="true" outlineLevel="0" collapsed="false">
      <c r="A87" s="93" t="s">
        <v>129</v>
      </c>
      <c r="B87" s="93" t="s">
        <v>121</v>
      </c>
      <c r="C87" s="93" t="s">
        <v>130</v>
      </c>
      <c r="D87" s="93" t="s">
        <v>31</v>
      </c>
      <c r="E87" s="78"/>
      <c r="F87" s="88" t="n">
        <v>34339</v>
      </c>
      <c r="G87" s="88" t="n">
        <v>0.167</v>
      </c>
      <c r="H87" s="78"/>
      <c r="I87" s="78"/>
      <c r="J87" s="78"/>
      <c r="K87" s="78"/>
      <c r="L87" s="78" t="n">
        <v>0</v>
      </c>
      <c r="M87" s="79" t="n">
        <f aca="false">IFERROR(ROUND(COUNTA(E87:L87)/8,2),0)</f>
        <v>0.38</v>
      </c>
      <c r="N87" s="80" t="str">
        <f aca="false">COUNTA(E87:L87)&amp;"/8 fields"</f>
        <v>3/8 fields</v>
      </c>
      <c r="O87" s="89" t="s">
        <v>104</v>
      </c>
    </row>
    <row r="88" customFormat="false" ht="15.75" hidden="false" customHeight="true" outlineLevel="0" collapsed="false">
      <c r="A88" s="94" t="s">
        <v>131</v>
      </c>
      <c r="B88" s="94" t="s">
        <v>56</v>
      </c>
      <c r="C88" s="94" t="s">
        <v>132</v>
      </c>
      <c r="D88" s="94" t="s">
        <v>29</v>
      </c>
      <c r="E88" s="78" t="n">
        <v>8667</v>
      </c>
      <c r="F88" s="78" t="n">
        <v>80669</v>
      </c>
      <c r="G88" s="88" t="n">
        <v>0.862</v>
      </c>
      <c r="H88" s="78"/>
      <c r="I88" s="78"/>
      <c r="J88" s="78"/>
      <c r="K88" s="78"/>
      <c r="L88" s="78" t="n">
        <v>0</v>
      </c>
      <c r="M88" s="79" t="n">
        <f aca="false">IFERROR(ROUND(COUNTA(E88:L88)/8,2),0)</f>
        <v>0.5</v>
      </c>
      <c r="N88" s="80" t="str">
        <f aca="false">COUNTA(E88:L88)&amp;"/8 fields"</f>
        <v>4/8 fields</v>
      </c>
      <c r="O88" s="89" t="s">
        <v>104</v>
      </c>
    </row>
    <row r="89" customFormat="false" ht="15.75" hidden="false" customHeight="true" outlineLevel="0" collapsed="false">
      <c r="A89" s="94" t="s">
        <v>131</v>
      </c>
      <c r="B89" s="94" t="s">
        <v>56</v>
      </c>
      <c r="C89" s="94" t="s">
        <v>132</v>
      </c>
      <c r="D89" s="94" t="s">
        <v>31</v>
      </c>
      <c r="E89" s="78" t="n">
        <v>22567</v>
      </c>
      <c r="F89" s="78" t="n">
        <v>92677</v>
      </c>
      <c r="G89" s="88" t="n">
        <v>0.99</v>
      </c>
      <c r="H89" s="78"/>
      <c r="I89" s="78"/>
      <c r="J89" s="78"/>
      <c r="K89" s="78" t="n">
        <v>0.005</v>
      </c>
      <c r="L89" s="78" t="n">
        <v>0</v>
      </c>
      <c r="M89" s="79" t="n">
        <f aca="false">IFERROR(ROUND(COUNTA(E89:L89)/8,2),0)</f>
        <v>0.63</v>
      </c>
      <c r="N89" s="80" t="str">
        <f aca="false">COUNTA(E89:L89)&amp;"/8 fields"</f>
        <v>5/8 fields</v>
      </c>
      <c r="O89" s="89" t="s">
        <v>104</v>
      </c>
    </row>
    <row r="90" customFormat="false" ht="15.75" hidden="false" customHeight="true" outlineLevel="0" collapsed="false">
      <c r="A90" s="94" t="s">
        <v>133</v>
      </c>
      <c r="B90" s="94" t="s">
        <v>121</v>
      </c>
      <c r="C90" s="94" t="s">
        <v>134</v>
      </c>
      <c r="D90" s="94" t="s">
        <v>29</v>
      </c>
      <c r="E90" s="78" t="n">
        <v>14843</v>
      </c>
      <c r="F90" s="78" t="n">
        <v>51636</v>
      </c>
      <c r="G90" s="78" t="n">
        <v>0.217</v>
      </c>
      <c r="H90" s="78" t="n">
        <v>0.001</v>
      </c>
      <c r="I90" s="78" t="n">
        <v>0.0064</v>
      </c>
      <c r="J90" s="78"/>
      <c r="K90" s="78"/>
      <c r="L90" s="78" t="n">
        <v>0</v>
      </c>
      <c r="M90" s="79" t="n">
        <f aca="false">IFERROR(ROUND(COUNTA(E90:L90)/8,2),0)</f>
        <v>0.75</v>
      </c>
      <c r="N90" s="80" t="str">
        <f aca="false">COUNTA(E90:L90)&amp;"/8 fields"</f>
        <v>6/8 fields</v>
      </c>
      <c r="O90" s="81" t="s">
        <v>109</v>
      </c>
    </row>
    <row r="91" customFormat="false" ht="15.75" hidden="false" customHeight="true" outlineLevel="0" collapsed="false">
      <c r="A91" s="94" t="s">
        <v>133</v>
      </c>
      <c r="B91" s="94" t="s">
        <v>121</v>
      </c>
      <c r="C91" s="94" t="s">
        <v>134</v>
      </c>
      <c r="D91" s="94" t="s">
        <v>31</v>
      </c>
      <c r="E91" s="78" t="n">
        <v>6057</v>
      </c>
      <c r="F91" s="78" t="n">
        <v>48146</v>
      </c>
      <c r="G91" s="91" t="n">
        <v>0.217</v>
      </c>
      <c r="H91" s="78"/>
      <c r="I91" s="78"/>
      <c r="J91" s="78"/>
      <c r="K91" s="78" t="n">
        <v>0.0031</v>
      </c>
      <c r="L91" s="78" t="n">
        <v>0</v>
      </c>
      <c r="M91" s="79" t="n">
        <f aca="false">IFERROR(ROUND(COUNTA(E91:L91)/8,2),0)</f>
        <v>0.63</v>
      </c>
      <c r="N91" s="80" t="str">
        <f aca="false">COUNTA(E91:L91)&amp;"/8 fields"</f>
        <v>5/8 fields</v>
      </c>
      <c r="O91" s="92" t="s">
        <v>110</v>
      </c>
    </row>
    <row r="92" customFormat="false" ht="15.75" hidden="false" customHeight="true" outlineLevel="0" collapsed="false">
      <c r="A92" s="86" t="s">
        <v>135</v>
      </c>
      <c r="B92" s="86" t="s">
        <v>116</v>
      </c>
      <c r="C92" s="86" t="s">
        <v>136</v>
      </c>
      <c r="D92" s="86" t="s">
        <v>29</v>
      </c>
      <c r="E92" s="78"/>
      <c r="F92" s="88" t="n">
        <v>326563</v>
      </c>
      <c r="G92" s="88" t="n">
        <v>2.253</v>
      </c>
      <c r="H92" s="78"/>
      <c r="I92" s="78"/>
      <c r="J92" s="78"/>
      <c r="K92" s="78" t="n">
        <v>0.04</v>
      </c>
      <c r="L92" s="78" t="n">
        <v>0</v>
      </c>
      <c r="M92" s="79" t="n">
        <f aca="false">IFERROR(ROUND(COUNTA(E92:L92)/8,2),0)</f>
        <v>0.5</v>
      </c>
      <c r="N92" s="80" t="str">
        <f aca="false">COUNTA(E92:L92)&amp;"/8 fields"</f>
        <v>4/8 fields</v>
      </c>
      <c r="O92" s="89" t="s">
        <v>104</v>
      </c>
    </row>
    <row r="93" customFormat="false" ht="15.75" hidden="false" customHeight="true" outlineLevel="0" collapsed="false">
      <c r="A93" s="86" t="s">
        <v>135</v>
      </c>
      <c r="B93" s="86" t="s">
        <v>116</v>
      </c>
      <c r="C93" s="86" t="s">
        <v>136</v>
      </c>
      <c r="D93" s="86" t="s">
        <v>31</v>
      </c>
      <c r="E93" s="78"/>
      <c r="F93" s="88" t="n">
        <v>326563</v>
      </c>
      <c r="G93" s="88" t="n">
        <v>2.253</v>
      </c>
      <c r="H93" s="78"/>
      <c r="I93" s="78"/>
      <c r="J93" s="78"/>
      <c r="K93" s="78" t="n">
        <v>0.0034</v>
      </c>
      <c r="L93" s="78" t="n">
        <v>0</v>
      </c>
      <c r="M93" s="79" t="n">
        <f aca="false">IFERROR(ROUND(COUNTA(E93:L93)/8,2),0)</f>
        <v>0.5</v>
      </c>
      <c r="N93" s="80" t="str">
        <f aca="false">COUNTA(E93:L93)&amp;"/8 fields"</f>
        <v>4/8 fields</v>
      </c>
      <c r="O93" s="89" t="s">
        <v>104</v>
      </c>
    </row>
    <row r="94" customFormat="false" ht="15.75" hidden="false" customHeight="true" outlineLevel="0" collapsed="false">
      <c r="A94" s="94" t="s">
        <v>137</v>
      </c>
      <c r="B94" s="94" t="s">
        <v>56</v>
      </c>
      <c r="C94" s="94" t="s">
        <v>138</v>
      </c>
      <c r="D94" s="94" t="s">
        <v>29</v>
      </c>
      <c r="E94" s="78" t="n">
        <v>7799</v>
      </c>
      <c r="F94" s="78" t="n">
        <v>8643</v>
      </c>
      <c r="G94" s="88" t="n">
        <v>0.092</v>
      </c>
      <c r="H94" s="78"/>
      <c r="I94" s="78"/>
      <c r="J94" s="78"/>
      <c r="K94" s="78"/>
      <c r="L94" s="78" t="n">
        <v>0</v>
      </c>
      <c r="M94" s="79" t="n">
        <f aca="false">IFERROR(ROUND(COUNTA(E94:L94)/8,2),0)</f>
        <v>0.5</v>
      </c>
      <c r="N94" s="80" t="str">
        <f aca="false">COUNTA(E94:L94)&amp;"/8 fields"</f>
        <v>4/8 fields</v>
      </c>
      <c r="O94" s="89" t="s">
        <v>104</v>
      </c>
    </row>
    <row r="95" customFormat="false" ht="15.75" hidden="false" customHeight="true" outlineLevel="0" collapsed="false">
      <c r="A95" s="94" t="s">
        <v>137</v>
      </c>
      <c r="B95" s="94" t="s">
        <v>56</v>
      </c>
      <c r="C95" s="94" t="s">
        <v>138</v>
      </c>
      <c r="D95" s="94" t="s">
        <v>31</v>
      </c>
      <c r="E95" s="78" t="n">
        <v>7480</v>
      </c>
      <c r="F95" s="78" t="n">
        <v>8324</v>
      </c>
      <c r="G95" s="88" t="n">
        <v>0.089</v>
      </c>
      <c r="H95" s="78"/>
      <c r="I95" s="78"/>
      <c r="J95" s="78"/>
      <c r="K95" s="78" t="n">
        <v>0.0019</v>
      </c>
      <c r="L95" s="78" t="n">
        <v>0</v>
      </c>
      <c r="M95" s="79" t="n">
        <f aca="false">IFERROR(ROUND(COUNTA(E95:L95)/8,2),0)</f>
        <v>0.63</v>
      </c>
      <c r="N95" s="80" t="str">
        <f aca="false">COUNTA(E95:L95)&amp;"/8 fields"</f>
        <v>5/8 fields</v>
      </c>
      <c r="O95" s="89" t="s">
        <v>104</v>
      </c>
    </row>
    <row r="96" customFormat="false" ht="15.75" hidden="false" customHeight="true" outlineLevel="0" collapsed="false">
      <c r="A96" s="94" t="s">
        <v>139</v>
      </c>
      <c r="B96" s="94" t="s">
        <v>43</v>
      </c>
      <c r="C96" s="94" t="s">
        <v>140</v>
      </c>
      <c r="D96" s="94" t="s">
        <v>29</v>
      </c>
      <c r="E96" s="78" t="n">
        <v>75813</v>
      </c>
      <c r="F96" s="78" t="n">
        <v>126070</v>
      </c>
      <c r="G96" s="78" t="n">
        <v>1.638</v>
      </c>
      <c r="H96" s="78"/>
      <c r="I96" s="78"/>
      <c r="J96" s="78"/>
      <c r="K96" s="78"/>
      <c r="L96" s="78" t="n">
        <v>0</v>
      </c>
      <c r="M96" s="79" t="n">
        <f aca="false">IFERROR(ROUND(COUNTA(E96:L96)/8,2),0)</f>
        <v>0.5</v>
      </c>
      <c r="N96" s="80" t="str">
        <f aca="false">COUNTA(E96:L96)&amp;"/8 fields"</f>
        <v>4/8 fields</v>
      </c>
      <c r="O96" s="81" t="s">
        <v>109</v>
      </c>
    </row>
    <row r="97" customFormat="false" ht="15.75" hidden="false" customHeight="true" outlineLevel="0" collapsed="false">
      <c r="A97" s="94" t="s">
        <v>139</v>
      </c>
      <c r="B97" s="94" t="s">
        <v>43</v>
      </c>
      <c r="C97" s="94" t="s">
        <v>140</v>
      </c>
      <c r="D97" s="94" t="s">
        <v>31</v>
      </c>
      <c r="E97" s="78"/>
      <c r="F97" s="91" t="n">
        <v>126070</v>
      </c>
      <c r="G97" s="91" t="n">
        <v>1.638</v>
      </c>
      <c r="H97" s="78" t="n">
        <v>0.503</v>
      </c>
      <c r="I97" s="78" t="n">
        <v>0.3073</v>
      </c>
      <c r="J97" s="78"/>
      <c r="K97" s="78" t="n">
        <v>0.0008</v>
      </c>
      <c r="L97" s="78" t="n">
        <v>0</v>
      </c>
      <c r="M97" s="79" t="n">
        <f aca="false">IFERROR(ROUND(COUNTA(E97:L97)/8,2),0)</f>
        <v>0.75</v>
      </c>
      <c r="N97" s="80" t="str">
        <f aca="false">COUNTA(E97:L97)&amp;"/8 fields"</f>
        <v>6/8 fields</v>
      </c>
      <c r="O97" s="92" t="s">
        <v>110</v>
      </c>
    </row>
    <row r="98" customFormat="false" ht="15.75" hidden="false" customHeight="true" outlineLevel="0" collapsed="false">
      <c r="A98" s="86" t="s">
        <v>141</v>
      </c>
      <c r="B98" s="86" t="s">
        <v>121</v>
      </c>
      <c r="C98" s="86" t="s">
        <v>142</v>
      </c>
      <c r="D98" s="86" t="s">
        <v>29</v>
      </c>
      <c r="E98" s="78"/>
      <c r="F98" s="88" t="n">
        <v>34339</v>
      </c>
      <c r="G98" s="88" t="n">
        <v>0.167</v>
      </c>
      <c r="H98" s="78"/>
      <c r="I98" s="78"/>
      <c r="J98" s="78"/>
      <c r="K98" s="78"/>
      <c r="L98" s="78" t="n">
        <v>0</v>
      </c>
      <c r="M98" s="79" t="n">
        <f aca="false">IFERROR(ROUND(COUNTA(E98:L98)/8,2),0)</f>
        <v>0.38</v>
      </c>
      <c r="N98" s="80" t="str">
        <f aca="false">COUNTA(E98:L98)&amp;"/8 fields"</f>
        <v>3/8 fields</v>
      </c>
      <c r="O98" s="89" t="s">
        <v>104</v>
      </c>
    </row>
    <row r="99" customFormat="false" ht="15.75" hidden="false" customHeight="true" outlineLevel="0" collapsed="false">
      <c r="A99" s="86" t="s">
        <v>141</v>
      </c>
      <c r="B99" s="86" t="s">
        <v>121</v>
      </c>
      <c r="C99" s="86" t="s">
        <v>142</v>
      </c>
      <c r="D99" s="86" t="s">
        <v>31</v>
      </c>
      <c r="E99" s="78"/>
      <c r="F99" s="88" t="n">
        <v>34339</v>
      </c>
      <c r="G99" s="88" t="n">
        <v>0.167</v>
      </c>
      <c r="H99" s="78"/>
      <c r="I99" s="78"/>
      <c r="J99" s="78"/>
      <c r="K99" s="78"/>
      <c r="L99" s="78" t="n">
        <v>0</v>
      </c>
      <c r="M99" s="79" t="n">
        <f aca="false">IFERROR(ROUND(COUNTA(E99:L99)/8,2),0)</f>
        <v>0.38</v>
      </c>
      <c r="N99" s="80" t="str">
        <f aca="false">COUNTA(E99:L99)&amp;"/8 fields"</f>
        <v>3/8 fields</v>
      </c>
      <c r="O99" s="89" t="s">
        <v>104</v>
      </c>
    </row>
    <row r="100" customFormat="false" ht="15.75" hidden="false" customHeight="true" outlineLevel="0" collapsed="false">
      <c r="A100" s="86" t="s">
        <v>143</v>
      </c>
      <c r="B100" s="86" t="s">
        <v>121</v>
      </c>
      <c r="C100" s="86" t="s">
        <v>144</v>
      </c>
      <c r="D100" s="86" t="s">
        <v>29</v>
      </c>
      <c r="E100" s="78"/>
      <c r="F100" s="88" t="n">
        <v>34339</v>
      </c>
      <c r="G100" s="78" t="n">
        <v>0.069</v>
      </c>
      <c r="H100" s="78"/>
      <c r="I100" s="78"/>
      <c r="J100" s="78"/>
      <c r="K100" s="78"/>
      <c r="L100" s="78" t="n">
        <v>0</v>
      </c>
      <c r="M100" s="79" t="n">
        <f aca="false">IFERROR(ROUND(COUNTA(E100:L100)/8,2),0)</f>
        <v>0.38</v>
      </c>
      <c r="N100" s="80" t="str">
        <f aca="false">COUNTA(E100:L100)&amp;"/8 fields"</f>
        <v>3/8 fields</v>
      </c>
      <c r="O100" s="89" t="s">
        <v>104</v>
      </c>
    </row>
    <row r="101" customFormat="false" ht="15.75" hidden="false" customHeight="true" outlineLevel="0" collapsed="false">
      <c r="A101" s="86" t="s">
        <v>143</v>
      </c>
      <c r="B101" s="86" t="s">
        <v>121</v>
      </c>
      <c r="C101" s="86" t="s">
        <v>144</v>
      </c>
      <c r="D101" s="86" t="s">
        <v>31</v>
      </c>
      <c r="E101" s="78"/>
      <c r="F101" s="88" t="n">
        <v>34339</v>
      </c>
      <c r="G101" s="91" t="n">
        <v>0.069</v>
      </c>
      <c r="H101" s="78" t="n">
        <v>0</v>
      </c>
      <c r="I101" s="78" t="n">
        <v>0.0014</v>
      </c>
      <c r="J101" s="78"/>
      <c r="K101" s="78"/>
      <c r="L101" s="78" t="n">
        <v>0</v>
      </c>
      <c r="M101" s="79" t="n">
        <f aca="false">IFERROR(ROUND(COUNTA(E101:L101)/8,2),0)</f>
        <v>0.63</v>
      </c>
      <c r="N101" s="80" t="str">
        <f aca="false">COUNTA(E101:L101)&amp;"/8 fields"</f>
        <v>5/8 fields</v>
      </c>
      <c r="O101" s="89" t="s">
        <v>104</v>
      </c>
    </row>
    <row r="102" customFormat="false" ht="15.75" hidden="false" customHeight="true" outlineLevel="0" collapsed="false">
      <c r="A102" s="77" t="s">
        <v>145</v>
      </c>
      <c r="B102" s="77" t="s">
        <v>116</v>
      </c>
      <c r="C102" s="77" t="s">
        <v>146</v>
      </c>
      <c r="D102" s="77" t="s">
        <v>29</v>
      </c>
      <c r="E102" s="78"/>
      <c r="F102" s="88" t="n">
        <v>326563</v>
      </c>
      <c r="G102" s="78" t="n">
        <v>1.881</v>
      </c>
      <c r="H102" s="78"/>
      <c r="I102" s="78"/>
      <c r="J102" s="78"/>
      <c r="K102" s="78"/>
      <c r="L102" s="78" t="n">
        <v>0</v>
      </c>
      <c r="M102" s="79" t="n">
        <f aca="false">IFERROR(ROUND(COUNTA(E102:L102)/8,2),0)</f>
        <v>0.38</v>
      </c>
      <c r="N102" s="80" t="str">
        <f aca="false">COUNTA(E102:L102)&amp;"/8 fields"</f>
        <v>3/8 fields</v>
      </c>
      <c r="O102" s="89" t="s">
        <v>104</v>
      </c>
    </row>
    <row r="103" customFormat="false" ht="15.75" hidden="false" customHeight="true" outlineLevel="0" collapsed="false">
      <c r="A103" s="77" t="s">
        <v>145</v>
      </c>
      <c r="B103" s="77" t="s">
        <v>116</v>
      </c>
      <c r="C103" s="77" t="s">
        <v>146</v>
      </c>
      <c r="D103" s="77" t="s">
        <v>31</v>
      </c>
      <c r="E103" s="78"/>
      <c r="F103" s="88" t="n">
        <v>326563</v>
      </c>
      <c r="G103" s="91" t="n">
        <v>1.881</v>
      </c>
      <c r="H103" s="78" t="n">
        <v>0.583</v>
      </c>
      <c r="I103" s="78" t="n">
        <v>0.31</v>
      </c>
      <c r="J103" s="78"/>
      <c r="K103" s="78" t="n">
        <v>0.0017</v>
      </c>
      <c r="L103" s="78" t="n">
        <v>0</v>
      </c>
      <c r="M103" s="79" t="n">
        <f aca="false">IFERROR(ROUND(COUNTA(E103:L103)/8,2),0)</f>
        <v>0.75</v>
      </c>
      <c r="N103" s="80" t="str">
        <f aca="false">COUNTA(E103:L103)&amp;"/8 fields"</f>
        <v>6/8 fields</v>
      </c>
      <c r="O103" s="89" t="s">
        <v>104</v>
      </c>
    </row>
    <row r="104" customFormat="false" ht="15.75" hidden="false" customHeight="true" outlineLevel="0" collapsed="false">
      <c r="A104" s="86" t="s">
        <v>147</v>
      </c>
      <c r="B104" s="86" t="s">
        <v>27</v>
      </c>
      <c r="C104" s="86" t="s">
        <v>148</v>
      </c>
      <c r="D104" s="86" t="s">
        <v>29</v>
      </c>
      <c r="E104" s="78" t="n">
        <v>24006330</v>
      </c>
      <c r="F104" s="78" t="n">
        <v>31502250</v>
      </c>
      <c r="G104" s="78" t="n">
        <v>332.188</v>
      </c>
      <c r="H104" s="78" t="n">
        <v>6.836</v>
      </c>
      <c r="I104" s="78" t="n">
        <v>0.0206</v>
      </c>
      <c r="J104" s="78"/>
      <c r="K104" s="78" t="n">
        <v>0.0827</v>
      </c>
      <c r="L104" s="78" t="n">
        <v>0</v>
      </c>
      <c r="M104" s="79" t="n">
        <f aca="false">IFERROR(ROUND(COUNTA(E104:L104)/8,2),0)</f>
        <v>0.88</v>
      </c>
      <c r="N104" s="80" t="str">
        <f aca="false">COUNTA(E104:L104)&amp;"/8 fields"</f>
        <v>7/8 fields</v>
      </c>
      <c r="O104" s="81" t="s">
        <v>109</v>
      </c>
    </row>
    <row r="105" customFormat="false" ht="15.75" hidden="false" customHeight="true" outlineLevel="0" collapsed="false">
      <c r="A105" s="86" t="s">
        <v>147</v>
      </c>
      <c r="B105" s="86" t="s">
        <v>27</v>
      </c>
      <c r="C105" s="86" t="s">
        <v>148</v>
      </c>
      <c r="D105" s="86" t="s">
        <v>31</v>
      </c>
      <c r="E105" s="78"/>
      <c r="F105" s="91" t="n">
        <v>31502250</v>
      </c>
      <c r="G105" s="91" t="n">
        <v>332.188</v>
      </c>
      <c r="H105" s="78"/>
      <c r="I105" s="78"/>
      <c r="J105" s="78"/>
      <c r="K105" s="78" t="n">
        <v>0.0848</v>
      </c>
      <c r="L105" s="78" t="n">
        <v>0</v>
      </c>
      <c r="M105" s="79" t="n">
        <f aca="false">IFERROR(ROUND(COUNTA(E105:L105)/8,2),0)</f>
        <v>0.5</v>
      </c>
      <c r="N105" s="80" t="str">
        <f aca="false">COUNTA(E105:L105)&amp;"/8 fields"</f>
        <v>4/8 fields</v>
      </c>
      <c r="O105" s="92" t="s">
        <v>110</v>
      </c>
    </row>
    <row r="106" customFormat="false" ht="15" hidden="false" customHeight="true" outlineLevel="0" collapsed="false">
      <c r="A106" s="95" t="s">
        <v>149</v>
      </c>
      <c r="B106" s="95" t="s">
        <v>33</v>
      </c>
      <c r="C106" s="95" t="s">
        <v>150</v>
      </c>
      <c r="D106" s="95" t="s">
        <v>29</v>
      </c>
      <c r="E106" s="95" t="n">
        <v>543</v>
      </c>
      <c r="F106" s="95" t="n">
        <v>10026</v>
      </c>
      <c r="G106" s="95" t="n">
        <v>0.048</v>
      </c>
      <c r="H106" s="95" t="n">
        <v>0.001</v>
      </c>
      <c r="I106" s="95" t="n">
        <v>0.0126</v>
      </c>
      <c r="J106" s="95"/>
      <c r="K106" s="95"/>
      <c r="L106" s="95" t="n">
        <v>0</v>
      </c>
      <c r="M106" s="95" t="n">
        <f aca="false">IFERROR(ROUND(COUNTA(E106:L106)/8,2),0)</f>
        <v>0.75</v>
      </c>
      <c r="N106" s="95" t="str">
        <f aca="false">COUNTA(E106:L106)&amp;"/8 fields"</f>
        <v>6/8 fields</v>
      </c>
      <c r="O106" s="1" t="s">
        <v>109</v>
      </c>
    </row>
    <row r="107" customFormat="false" ht="15" hidden="false" customHeight="true" outlineLevel="0" collapsed="false">
      <c r="A107" s="95" t="s">
        <v>149</v>
      </c>
      <c r="B107" s="95" t="s">
        <v>33</v>
      </c>
      <c r="C107" s="95" t="s">
        <v>150</v>
      </c>
      <c r="D107" s="95" t="s">
        <v>31</v>
      </c>
      <c r="E107" s="95" t="n">
        <v>413</v>
      </c>
      <c r="F107" s="95" t="n">
        <v>9101</v>
      </c>
      <c r="G107" s="96" t="n">
        <v>0.048</v>
      </c>
      <c r="H107" s="95" t="n">
        <v>0.001</v>
      </c>
      <c r="I107" s="95" t="n">
        <v>0.0105</v>
      </c>
      <c r="J107" s="95"/>
      <c r="K107" s="95" t="n">
        <v>0.75</v>
      </c>
      <c r="L107" s="95" t="n">
        <v>0</v>
      </c>
      <c r="M107" s="95" t="n">
        <f aca="false">IFERROR(ROUND(COUNTA(E107:L107)/8,2),0)</f>
        <v>0.88</v>
      </c>
      <c r="N107" s="95" t="str">
        <f aca="false">COUNTA(E107:L107)&amp;"/8 fields"</f>
        <v>7/8 fields</v>
      </c>
      <c r="O107" s="97" t="s">
        <v>110</v>
      </c>
    </row>
    <row r="108" customFormat="false" ht="15" hidden="false" customHeight="true" outlineLevel="0" collapsed="false">
      <c r="A108" s="95" t="s">
        <v>151</v>
      </c>
      <c r="B108" s="95" t="s">
        <v>43</v>
      </c>
      <c r="C108" s="95" t="s">
        <v>152</v>
      </c>
      <c r="D108" s="95" t="s">
        <v>29</v>
      </c>
      <c r="E108" s="95"/>
      <c r="F108" s="96" t="n">
        <v>33277</v>
      </c>
      <c r="G108" s="98" t="n">
        <v>0.432</v>
      </c>
      <c r="H108" s="95" t="n">
        <v>0.024</v>
      </c>
      <c r="I108" s="95" t="n">
        <v>0.0551</v>
      </c>
      <c r="J108" s="95"/>
      <c r="K108" s="95"/>
      <c r="L108" s="95" t="n">
        <v>0</v>
      </c>
      <c r="M108" s="95" t="n">
        <f aca="false">IFERROR(ROUND(COUNTA(E108:L108)/8,2),0)</f>
        <v>0.63</v>
      </c>
      <c r="N108" s="95" t="str">
        <f aca="false">COUNTA(E108:L108)&amp;"/8 fields"</f>
        <v>5/8 fields</v>
      </c>
      <c r="O108" s="99" t="s">
        <v>104</v>
      </c>
    </row>
    <row r="109" customFormat="false" ht="15" hidden="false" customHeight="true" outlineLevel="0" collapsed="false">
      <c r="A109" s="95" t="s">
        <v>151</v>
      </c>
      <c r="B109" s="95" t="s">
        <v>43</v>
      </c>
      <c r="C109" s="95" t="s">
        <v>152</v>
      </c>
      <c r="D109" s="95" t="s">
        <v>31</v>
      </c>
      <c r="E109" s="95" t="n">
        <v>4860</v>
      </c>
      <c r="F109" s="95" t="n">
        <v>33277</v>
      </c>
      <c r="G109" s="98" t="n">
        <v>0.432</v>
      </c>
      <c r="H109" s="95" t="n">
        <v>0.04</v>
      </c>
      <c r="I109" s="95" t="n">
        <v>0.0924</v>
      </c>
      <c r="J109" s="95"/>
      <c r="K109" s="95" t="n">
        <v>0.0038</v>
      </c>
      <c r="L109" s="95" t="n">
        <v>0</v>
      </c>
      <c r="M109" s="95" t="n">
        <f aca="false">IFERROR(ROUND(COUNTA(E109:L109)/8,2),0)</f>
        <v>0.88</v>
      </c>
      <c r="N109" s="95" t="str">
        <f aca="false">COUNTA(E109:L109)&amp;"/8 fields"</f>
        <v>7/8 fields</v>
      </c>
      <c r="O109" s="99" t="s">
        <v>104</v>
      </c>
    </row>
    <row r="110" customFormat="false" ht="15" hidden="false" customHeight="true" outlineLevel="0" collapsed="false">
      <c r="A110" s="95" t="s">
        <v>153</v>
      </c>
      <c r="B110" s="95" t="s">
        <v>102</v>
      </c>
      <c r="C110" s="95" t="s">
        <v>154</v>
      </c>
      <c r="D110" s="95" t="s">
        <v>29</v>
      </c>
      <c r="E110" s="95" t="n">
        <v>4945</v>
      </c>
      <c r="F110" s="95" t="n">
        <v>19063</v>
      </c>
      <c r="G110" s="95" t="n">
        <v>0.142</v>
      </c>
      <c r="H110" s="95"/>
      <c r="I110" s="95"/>
      <c r="J110" s="95"/>
      <c r="K110" s="95"/>
      <c r="L110" s="95" t="n">
        <v>0</v>
      </c>
      <c r="M110" s="95" t="n">
        <f aca="false">IFERROR(ROUND(COUNTA(E110:L110)/8,2),0)</f>
        <v>0.5</v>
      </c>
      <c r="N110" s="95" t="str">
        <f aca="false">COUNTA(E110:L110)&amp;"/8 fields"</f>
        <v>4/8 fields</v>
      </c>
      <c r="O110" s="1" t="s">
        <v>109</v>
      </c>
    </row>
    <row r="111" customFormat="false" ht="15" hidden="false" customHeight="true" outlineLevel="0" collapsed="false">
      <c r="A111" s="95" t="s">
        <v>153</v>
      </c>
      <c r="B111" s="95" t="s">
        <v>102</v>
      </c>
      <c r="C111" s="95" t="s">
        <v>154</v>
      </c>
      <c r="D111" s="95" t="s">
        <v>31</v>
      </c>
      <c r="E111" s="95" t="n">
        <v>27</v>
      </c>
      <c r="F111" s="95" t="n">
        <v>17126</v>
      </c>
      <c r="G111" s="96" t="n">
        <v>0.142</v>
      </c>
      <c r="H111" s="95"/>
      <c r="I111" s="95"/>
      <c r="J111" s="95"/>
      <c r="K111" s="95"/>
      <c r="L111" s="95" t="n">
        <v>0</v>
      </c>
      <c r="M111" s="95" t="n">
        <f aca="false">IFERROR(ROUND(COUNTA(E111:L111)/8,2),0)</f>
        <v>0.5</v>
      </c>
      <c r="N111" s="95" t="str">
        <f aca="false">COUNTA(E111:L111)&amp;"/8 fields"</f>
        <v>4/8 fields</v>
      </c>
      <c r="O111" s="97" t="s">
        <v>110</v>
      </c>
    </row>
    <row r="112" customFormat="false" ht="15" hidden="false" customHeight="true" outlineLevel="0" collapsed="false">
      <c r="A112" s="95" t="s">
        <v>155</v>
      </c>
      <c r="B112" s="95" t="s">
        <v>43</v>
      </c>
      <c r="C112" s="95" t="s">
        <v>156</v>
      </c>
      <c r="D112" s="95" t="s">
        <v>29</v>
      </c>
      <c r="E112" s="95" t="n">
        <v>13573</v>
      </c>
      <c r="F112" s="95" t="n">
        <v>61745</v>
      </c>
      <c r="G112" s="95" t="n">
        <v>0.704</v>
      </c>
      <c r="H112" s="95"/>
      <c r="I112" s="95"/>
      <c r="J112" s="95"/>
      <c r="K112" s="95"/>
      <c r="L112" s="95" t="n">
        <v>0</v>
      </c>
      <c r="M112" s="95" t="n">
        <f aca="false">IFERROR(ROUND(COUNTA(E112:L112)/8,2),0)</f>
        <v>0.5</v>
      </c>
      <c r="N112" s="95" t="str">
        <f aca="false">COUNTA(E112:L112)&amp;"/8 fields"</f>
        <v>4/8 fields</v>
      </c>
      <c r="O112" s="1" t="s">
        <v>109</v>
      </c>
    </row>
    <row r="113" customFormat="false" ht="15" hidden="false" customHeight="true" outlineLevel="0" collapsed="false">
      <c r="A113" s="95" t="s">
        <v>155</v>
      </c>
      <c r="B113" s="95" t="s">
        <v>43</v>
      </c>
      <c r="C113" s="95" t="s">
        <v>156</v>
      </c>
      <c r="D113" s="95" t="s">
        <v>31</v>
      </c>
      <c r="E113" s="95" t="n">
        <v>12185</v>
      </c>
      <c r="F113" s="95" t="n">
        <v>61829</v>
      </c>
      <c r="G113" s="95" t="n">
        <v>0.371</v>
      </c>
      <c r="H113" s="95"/>
      <c r="I113" s="95"/>
      <c r="J113" s="95"/>
      <c r="K113" s="95" t="n">
        <v>0.007</v>
      </c>
      <c r="L113" s="95" t="n">
        <v>0</v>
      </c>
      <c r="M113" s="95" t="n">
        <f aca="false">IFERROR(ROUND(COUNTA(E113:L113)/8,2),0)</f>
        <v>0.63</v>
      </c>
      <c r="N113" s="95" t="str">
        <f aca="false">COUNTA(E113:L113)&amp;"/8 fields"</f>
        <v>5/8 fields</v>
      </c>
      <c r="O113" s="1" t="s">
        <v>109</v>
      </c>
    </row>
    <row r="114" customFormat="false" ht="15" hidden="false" customHeight="true" outlineLevel="0" collapsed="false">
      <c r="A114" s="95" t="s">
        <v>157</v>
      </c>
      <c r="B114" s="95" t="s">
        <v>116</v>
      </c>
      <c r="C114" s="95" t="s">
        <v>158</v>
      </c>
      <c r="D114" s="95" t="s">
        <v>29</v>
      </c>
      <c r="E114" s="95" t="n">
        <v>380676</v>
      </c>
      <c r="F114" s="95" t="n">
        <v>753817</v>
      </c>
      <c r="G114" s="95" t="n">
        <v>5.2</v>
      </c>
      <c r="H114" s="95" t="n">
        <v>0.011</v>
      </c>
      <c r="I114" s="95" t="n">
        <v>0.0022</v>
      </c>
      <c r="J114" s="95"/>
      <c r="K114" s="95"/>
      <c r="L114" s="95" t="n">
        <v>0</v>
      </c>
      <c r="M114" s="95" t="n">
        <f aca="false">IFERROR(ROUND(COUNTA(E114:L114)/8,2),0)</f>
        <v>0.75</v>
      </c>
      <c r="N114" s="95" t="str">
        <f aca="false">COUNTA(E114:L114)&amp;"/8 fields"</f>
        <v>6/8 fields</v>
      </c>
      <c r="O114" s="1" t="s">
        <v>109</v>
      </c>
    </row>
    <row r="115" customFormat="false" ht="15" hidden="false" customHeight="true" outlineLevel="0" collapsed="false">
      <c r="A115" s="95" t="s">
        <v>157</v>
      </c>
      <c r="B115" s="95" t="s">
        <v>116</v>
      </c>
      <c r="C115" s="95" t="s">
        <v>158</v>
      </c>
      <c r="D115" s="95" t="s">
        <v>31</v>
      </c>
      <c r="E115" s="95" t="n">
        <v>339941</v>
      </c>
      <c r="F115" s="95" t="n">
        <v>697751</v>
      </c>
      <c r="G115" s="96" t="n">
        <v>5.2</v>
      </c>
      <c r="H115" s="95" t="n">
        <v>0.023</v>
      </c>
      <c r="I115" s="95" t="n">
        <v>0.0045</v>
      </c>
      <c r="J115" s="95"/>
      <c r="K115" s="95"/>
      <c r="L115" s="95" t="n">
        <v>0</v>
      </c>
      <c r="M115" s="95" t="n">
        <f aca="false">IFERROR(ROUND(COUNTA(E115:L115)/8,2),0)</f>
        <v>0.75</v>
      </c>
      <c r="N115" s="95" t="str">
        <f aca="false">COUNTA(E115:L115)&amp;"/8 fields"</f>
        <v>6/8 fields</v>
      </c>
      <c r="O115" s="97" t="s">
        <v>110</v>
      </c>
    </row>
    <row r="116" customFormat="false" ht="15" hidden="false" customHeight="true" outlineLevel="0" collapsed="false">
      <c r="A116" s="95" t="s">
        <v>159</v>
      </c>
      <c r="B116" s="95" t="s">
        <v>116</v>
      </c>
      <c r="C116" s="95" t="s">
        <v>160</v>
      </c>
      <c r="D116" s="95" t="s">
        <v>29</v>
      </c>
      <c r="E116" s="95"/>
      <c r="F116" s="96" t="n">
        <v>304185</v>
      </c>
      <c r="G116" s="95" t="n">
        <v>4.04</v>
      </c>
      <c r="H116" s="95" t="n">
        <v>1.149</v>
      </c>
      <c r="I116" s="95" t="n">
        <v>0.2845</v>
      </c>
      <c r="J116" s="95"/>
      <c r="K116" s="95"/>
      <c r="L116" s="95" t="n">
        <v>0</v>
      </c>
      <c r="M116" s="95" t="n">
        <f aca="false">IFERROR(ROUND(COUNTA(E116:L116)/8,2),0)</f>
        <v>0.63</v>
      </c>
      <c r="N116" s="95" t="str">
        <f aca="false">COUNTA(E116:L116)&amp;"/8 fields"</f>
        <v>5/8 fields</v>
      </c>
      <c r="O116" s="97" t="s">
        <v>110</v>
      </c>
    </row>
    <row r="117" customFormat="false" ht="15" hidden="false" customHeight="true" outlineLevel="0" collapsed="false">
      <c r="A117" s="95" t="s">
        <v>159</v>
      </c>
      <c r="B117" s="95" t="s">
        <v>116</v>
      </c>
      <c r="C117" s="95" t="s">
        <v>160</v>
      </c>
      <c r="D117" s="95" t="s">
        <v>31</v>
      </c>
      <c r="E117" s="95" t="n">
        <v>189530</v>
      </c>
      <c r="F117" s="95" t="n">
        <v>304185</v>
      </c>
      <c r="G117" s="96" t="n">
        <v>4.04</v>
      </c>
      <c r="H117" s="95" t="n">
        <v>2.322</v>
      </c>
      <c r="I117" s="95" t="n">
        <v>0.5749</v>
      </c>
      <c r="J117" s="95"/>
      <c r="K117" s="95" t="n">
        <v>0.56</v>
      </c>
      <c r="L117" s="95" t="n">
        <v>0</v>
      </c>
      <c r="M117" s="95" t="n">
        <f aca="false">IFERROR(ROUND(COUNTA(E117:L117)/8,2),0)</f>
        <v>0.88</v>
      </c>
      <c r="N117" s="95" t="str">
        <f aca="false">COUNTA(E117:L117)&amp;"/8 fields"</f>
        <v>7/8 fields</v>
      </c>
      <c r="O117" s="97" t="s">
        <v>110</v>
      </c>
    </row>
    <row r="118" customFormat="false" ht="15" hidden="false" customHeight="true" outlineLevel="0" collapsed="false">
      <c r="A118" s="95" t="s">
        <v>161</v>
      </c>
      <c r="B118" s="95" t="s">
        <v>56</v>
      </c>
      <c r="C118" s="95" t="s">
        <v>162</v>
      </c>
      <c r="D118" s="95" t="s">
        <v>29</v>
      </c>
      <c r="E118" s="95" t="n">
        <v>11510</v>
      </c>
      <c r="F118" s="95" t="n">
        <v>67455</v>
      </c>
      <c r="G118" s="98" t="n">
        <v>0.721</v>
      </c>
      <c r="H118" s="95" t="n">
        <v>0.075</v>
      </c>
      <c r="I118" s="95" t="n">
        <v>0.1036</v>
      </c>
      <c r="J118" s="95"/>
      <c r="K118" s="95"/>
      <c r="L118" s="95" t="n">
        <v>0</v>
      </c>
      <c r="M118" s="95" t="n">
        <f aca="false">IFERROR(ROUND(COUNTA(E118:L118)/8,2),0)</f>
        <v>0.75</v>
      </c>
      <c r="N118" s="95" t="str">
        <f aca="false">COUNTA(E118:L118)&amp;"/8 fields"</f>
        <v>6/8 fields</v>
      </c>
      <c r="O118" s="99" t="s">
        <v>104</v>
      </c>
    </row>
    <row r="119" customFormat="false" ht="15" hidden="false" customHeight="true" outlineLevel="0" collapsed="false">
      <c r="A119" s="95" t="s">
        <v>161</v>
      </c>
      <c r="B119" s="95" t="s">
        <v>56</v>
      </c>
      <c r="C119" s="95" t="s">
        <v>162</v>
      </c>
      <c r="D119" s="95" t="s">
        <v>31</v>
      </c>
      <c r="E119" s="95" t="n">
        <v>14516</v>
      </c>
      <c r="F119" s="95" t="n">
        <v>58522</v>
      </c>
      <c r="G119" s="98" t="n">
        <v>0.625</v>
      </c>
      <c r="H119" s="95" t="n">
        <v>0.124</v>
      </c>
      <c r="I119" s="95" t="n">
        <v>0.1982</v>
      </c>
      <c r="J119" s="95"/>
      <c r="K119" s="95" t="n">
        <v>0.0023</v>
      </c>
      <c r="L119" s="95" t="n">
        <v>0</v>
      </c>
      <c r="M119" s="95" t="n">
        <f aca="false">IFERROR(ROUND(COUNTA(E119:L119)/8,2),0)</f>
        <v>0.88</v>
      </c>
      <c r="N119" s="95" t="str">
        <f aca="false">COUNTA(E119:L119)&amp;"/8 fields"</f>
        <v>7/8 fields</v>
      </c>
      <c r="O119" s="99" t="s">
        <v>104</v>
      </c>
    </row>
    <row r="120" customFormat="false" ht="15" hidden="false" customHeight="true" outlineLevel="0" collapsed="false">
      <c r="A120" s="95" t="s">
        <v>163</v>
      </c>
      <c r="B120" s="95" t="s">
        <v>43</v>
      </c>
      <c r="C120" s="95" t="s">
        <v>164</v>
      </c>
      <c r="D120" s="95" t="s">
        <v>29</v>
      </c>
      <c r="E120" s="95" t="n">
        <v>3106</v>
      </c>
      <c r="F120" s="95" t="n">
        <v>18448</v>
      </c>
      <c r="G120" s="95" t="n">
        <v>0.129</v>
      </c>
      <c r="H120" s="95"/>
      <c r="I120" s="95"/>
      <c r="J120" s="95"/>
      <c r="K120" s="95"/>
      <c r="L120" s="95" t="n">
        <v>0</v>
      </c>
      <c r="M120" s="95" t="n">
        <f aca="false">IFERROR(ROUND(COUNTA(E120:L120)/8,2),0)</f>
        <v>0.5</v>
      </c>
      <c r="N120" s="95" t="str">
        <f aca="false">COUNTA(E120:L120)&amp;"/8 fields"</f>
        <v>4/8 fields</v>
      </c>
      <c r="O120" s="1" t="s">
        <v>109</v>
      </c>
    </row>
    <row r="121" customFormat="false" ht="15" hidden="false" customHeight="true" outlineLevel="0" collapsed="false">
      <c r="A121" s="95" t="s">
        <v>163</v>
      </c>
      <c r="B121" s="95" t="s">
        <v>43</v>
      </c>
      <c r="C121" s="95" t="s">
        <v>164</v>
      </c>
      <c r="D121" s="95" t="s">
        <v>31</v>
      </c>
      <c r="E121" s="95"/>
      <c r="F121" s="96" t="n">
        <v>18448</v>
      </c>
      <c r="G121" s="95" t="n">
        <v>0.023</v>
      </c>
      <c r="H121" s="95"/>
      <c r="I121" s="95"/>
      <c r="J121" s="95"/>
      <c r="K121" s="95"/>
      <c r="L121" s="95" t="n">
        <v>0</v>
      </c>
      <c r="M121" s="95" t="n">
        <f aca="false">IFERROR(ROUND(COUNTA(E121:L121)/8,2),0)</f>
        <v>0.38</v>
      </c>
      <c r="N121" s="95" t="str">
        <f aca="false">COUNTA(E121:L121)&amp;"/8 fields"</f>
        <v>3/8 fields</v>
      </c>
      <c r="O121" s="97" t="s">
        <v>110</v>
      </c>
    </row>
    <row r="122" customFormat="false" ht="15" hidden="false" customHeight="true" outlineLevel="0" collapsed="false">
      <c r="A122" s="95" t="s">
        <v>165</v>
      </c>
      <c r="B122" s="95" t="s">
        <v>56</v>
      </c>
      <c r="C122" s="95" t="s">
        <v>166</v>
      </c>
      <c r="D122" s="95" t="s">
        <v>29</v>
      </c>
      <c r="E122" s="95" t="n">
        <v>9153</v>
      </c>
      <c r="F122" s="95" t="n">
        <v>46061</v>
      </c>
      <c r="G122" s="98" t="n">
        <v>0.492</v>
      </c>
      <c r="H122" s="95"/>
      <c r="I122" s="95"/>
      <c r="J122" s="95"/>
      <c r="K122" s="95" t="n">
        <v>0.0603</v>
      </c>
      <c r="L122" s="95" t="n">
        <v>0</v>
      </c>
      <c r="M122" s="95" t="n">
        <f aca="false">IFERROR(ROUND(COUNTA(E122:L122)/8,2),0)</f>
        <v>0.63</v>
      </c>
      <c r="N122" s="95" t="str">
        <f aca="false">COUNTA(E122:L122)&amp;"/8 fields"</f>
        <v>5/8 fields</v>
      </c>
      <c r="O122" s="99" t="s">
        <v>104</v>
      </c>
    </row>
    <row r="123" customFormat="false" ht="15" hidden="false" customHeight="true" outlineLevel="0" collapsed="false">
      <c r="A123" s="95" t="s">
        <v>165</v>
      </c>
      <c r="B123" s="95" t="s">
        <v>56</v>
      </c>
      <c r="C123" s="95" t="s">
        <v>166</v>
      </c>
      <c r="D123" s="95" t="s">
        <v>31</v>
      </c>
      <c r="E123" s="95" t="n">
        <v>9803</v>
      </c>
      <c r="F123" s="95" t="n">
        <v>46446</v>
      </c>
      <c r="G123" s="98" t="n">
        <v>0.496</v>
      </c>
      <c r="H123" s="95"/>
      <c r="I123" s="95"/>
      <c r="J123" s="95"/>
      <c r="K123" s="95"/>
      <c r="L123" s="95" t="n">
        <v>0</v>
      </c>
      <c r="M123" s="95" t="n">
        <f aca="false">IFERROR(ROUND(COUNTA(E123:L123)/8,2),0)</f>
        <v>0.5</v>
      </c>
      <c r="N123" s="95" t="str">
        <f aca="false">COUNTA(E123:L123)&amp;"/8 fields"</f>
        <v>4/8 fields</v>
      </c>
      <c r="O123" s="99" t="s">
        <v>104</v>
      </c>
    </row>
    <row r="124" customFormat="false" ht="15" hidden="false" customHeight="true" outlineLevel="0" collapsed="false">
      <c r="A124" s="95" t="s">
        <v>167</v>
      </c>
      <c r="B124" s="95" t="s">
        <v>43</v>
      </c>
      <c r="C124" s="95" t="s">
        <v>168</v>
      </c>
      <c r="D124" s="95" t="s">
        <v>29</v>
      </c>
      <c r="E124" s="95"/>
      <c r="F124" s="96" t="n">
        <v>60438</v>
      </c>
      <c r="G124" s="98" t="n">
        <v>0.785</v>
      </c>
      <c r="H124" s="95"/>
      <c r="I124" s="95"/>
      <c r="J124" s="95"/>
      <c r="K124" s="95"/>
      <c r="L124" s="95" t="n">
        <v>0</v>
      </c>
      <c r="M124" s="95" t="n">
        <f aca="false">IFERROR(ROUND(COUNTA(E124:L124)/8,2),0)</f>
        <v>0.38</v>
      </c>
      <c r="N124" s="95" t="str">
        <f aca="false">COUNTA(E124:L124)&amp;"/8 fields"</f>
        <v>3/8 fields</v>
      </c>
      <c r="O124" s="99" t="s">
        <v>104</v>
      </c>
    </row>
    <row r="125" customFormat="false" ht="15" hidden="false" customHeight="true" outlineLevel="0" collapsed="false">
      <c r="A125" s="95" t="s">
        <v>167</v>
      </c>
      <c r="B125" s="95" t="s">
        <v>43</v>
      </c>
      <c r="C125" s="95" t="s">
        <v>168</v>
      </c>
      <c r="D125" s="95" t="s">
        <v>31</v>
      </c>
      <c r="E125" s="95" t="n">
        <v>36076</v>
      </c>
      <c r="F125" s="95" t="n">
        <v>60438</v>
      </c>
      <c r="G125" s="98" t="n">
        <v>0.785</v>
      </c>
      <c r="H125" s="95"/>
      <c r="I125" s="95"/>
      <c r="J125" s="95"/>
      <c r="K125" s="95" t="n">
        <v>0.0004</v>
      </c>
      <c r="L125" s="95" t="n">
        <v>0</v>
      </c>
      <c r="M125" s="95" t="n">
        <f aca="false">IFERROR(ROUND(COUNTA(E125:L125)/8,2),0)</f>
        <v>0.63</v>
      </c>
      <c r="N125" s="95" t="str">
        <f aca="false">COUNTA(E125:L125)&amp;"/8 fields"</f>
        <v>5/8 fields</v>
      </c>
      <c r="O125" s="99" t="s">
        <v>104</v>
      </c>
    </row>
    <row r="126" customFormat="false" ht="15" hidden="false" customHeight="true" outlineLevel="0" collapsed="false">
      <c r="A126" s="95" t="s">
        <v>169</v>
      </c>
      <c r="B126" s="95" t="s">
        <v>170</v>
      </c>
      <c r="C126" s="95" t="s">
        <v>171</v>
      </c>
      <c r="D126" s="95" t="s">
        <v>29</v>
      </c>
      <c r="E126" s="95"/>
      <c r="F126" s="98" t="n">
        <v>4895</v>
      </c>
      <c r="G126" s="95" t="n">
        <v>1.975</v>
      </c>
      <c r="H126" s="95" t="n">
        <v>0.01</v>
      </c>
      <c r="I126" s="95" t="n">
        <v>0.0052</v>
      </c>
      <c r="J126" s="95"/>
      <c r="K126" s="95"/>
      <c r="L126" s="95" t="n">
        <v>0</v>
      </c>
      <c r="M126" s="95" t="n">
        <f aca="false">IFERROR(ROUND(COUNTA(E126:L126)/8,2),0)</f>
        <v>0.63</v>
      </c>
      <c r="N126" s="95" t="str">
        <f aca="false">COUNTA(E126:L126)&amp;"/8 fields"</f>
        <v>5/8 fields</v>
      </c>
      <c r="O126" s="99" t="s">
        <v>104</v>
      </c>
    </row>
    <row r="127" customFormat="false" ht="15" hidden="false" customHeight="true" outlineLevel="0" collapsed="false">
      <c r="A127" s="95" t="s">
        <v>169</v>
      </c>
      <c r="B127" s="95" t="s">
        <v>170</v>
      </c>
      <c r="C127" s="95" t="s">
        <v>171</v>
      </c>
      <c r="D127" s="95" t="s">
        <v>31</v>
      </c>
      <c r="E127" s="95"/>
      <c r="F127" s="98" t="n">
        <v>4895</v>
      </c>
      <c r="G127" s="96" t="n">
        <v>1.975</v>
      </c>
      <c r="H127" s="95" t="n">
        <v>0.012</v>
      </c>
      <c r="I127" s="95" t="n">
        <v>0.006</v>
      </c>
      <c r="J127" s="95"/>
      <c r="K127" s="95"/>
      <c r="L127" s="95" t="n">
        <v>0</v>
      </c>
      <c r="M127" s="95" t="n">
        <f aca="false">IFERROR(ROUND(COUNTA(E127:L127)/8,2),0)</f>
        <v>0.63</v>
      </c>
      <c r="N127" s="95" t="str">
        <f aca="false">COUNTA(E127:L127)&amp;"/8 fields"</f>
        <v>5/8 fields</v>
      </c>
      <c r="O127" s="99" t="s">
        <v>104</v>
      </c>
    </row>
    <row r="128" customFormat="false" ht="15" hidden="false" customHeight="true" outlineLevel="0" collapsed="false">
      <c r="A128" s="95" t="s">
        <v>172</v>
      </c>
      <c r="B128" s="95" t="s">
        <v>50</v>
      </c>
      <c r="C128" s="95" t="s">
        <v>173</v>
      </c>
      <c r="D128" s="95" t="s">
        <v>29</v>
      </c>
      <c r="E128" s="95" t="n">
        <v>9861</v>
      </c>
      <c r="F128" s="95" t="n">
        <v>93545</v>
      </c>
      <c r="G128" s="95" t="n">
        <v>0.561</v>
      </c>
      <c r="H128" s="95" t="n">
        <v>0.034</v>
      </c>
      <c r="I128" s="95" t="n">
        <v>0.0607</v>
      </c>
      <c r="J128" s="95"/>
      <c r="K128" s="95"/>
      <c r="L128" s="95" t="n">
        <v>0</v>
      </c>
      <c r="M128" s="95" t="n">
        <f aca="false">IFERROR(ROUND(COUNTA(E128:L128)/8,2),0)</f>
        <v>0.75</v>
      </c>
      <c r="N128" s="95" t="str">
        <f aca="false">COUNTA(E128:L128)&amp;"/8 fields"</f>
        <v>6/8 fields</v>
      </c>
      <c r="O128" s="1" t="s">
        <v>109</v>
      </c>
    </row>
    <row r="129" customFormat="false" ht="15" hidden="false" customHeight="true" outlineLevel="0" collapsed="false">
      <c r="A129" s="95" t="s">
        <v>172</v>
      </c>
      <c r="B129" s="95" t="s">
        <v>50</v>
      </c>
      <c r="C129" s="95" t="s">
        <v>173</v>
      </c>
      <c r="D129" s="95" t="s">
        <v>31</v>
      </c>
      <c r="E129" s="95" t="n">
        <v>59517</v>
      </c>
      <c r="F129" s="95" t="n">
        <v>146079</v>
      </c>
      <c r="G129" s="96" t="n">
        <v>0.561</v>
      </c>
      <c r="H129" s="95" t="n">
        <v>0.04</v>
      </c>
      <c r="I129" s="95" t="n">
        <v>0.0716</v>
      </c>
      <c r="J129" s="95"/>
      <c r="K129" s="95"/>
      <c r="L129" s="95" t="n">
        <v>0</v>
      </c>
      <c r="M129" s="95" t="n">
        <f aca="false">IFERROR(ROUND(COUNTA(E129:L129)/8,2),0)</f>
        <v>0.75</v>
      </c>
      <c r="N129" s="95" t="str">
        <f aca="false">COUNTA(E129:L129)&amp;"/8 fields"</f>
        <v>6/8 fields</v>
      </c>
      <c r="O129" s="97" t="s">
        <v>110</v>
      </c>
    </row>
    <row r="130" customFormat="false" ht="15" hidden="false" customHeight="true" outlineLevel="0" collapsed="false">
      <c r="A130" s="95" t="s">
        <v>174</v>
      </c>
      <c r="B130" s="95" t="s">
        <v>56</v>
      </c>
      <c r="C130" s="95" t="s">
        <v>175</v>
      </c>
      <c r="D130" s="95" t="s">
        <v>29</v>
      </c>
      <c r="E130" s="95" t="n">
        <v>19867</v>
      </c>
      <c r="F130" s="95" t="n">
        <v>102351</v>
      </c>
      <c r="G130" s="98" t="n">
        <v>1.094</v>
      </c>
      <c r="H130" s="95" t="n">
        <v>0.049</v>
      </c>
      <c r="I130" s="95" t="n">
        <v>0.0448</v>
      </c>
      <c r="J130" s="95"/>
      <c r="K130" s="95"/>
      <c r="L130" s="95" t="n">
        <v>0</v>
      </c>
      <c r="M130" s="95" t="n">
        <f aca="false">IFERROR(ROUND(COUNTA(E130:L130)/8,2),0)</f>
        <v>0.75</v>
      </c>
      <c r="N130" s="95" t="str">
        <f aca="false">COUNTA(E130:L130)&amp;"/8 fields"</f>
        <v>6/8 fields</v>
      </c>
      <c r="O130" s="99" t="s">
        <v>104</v>
      </c>
    </row>
    <row r="131" customFormat="false" ht="15" hidden="false" customHeight="true" outlineLevel="0" collapsed="false">
      <c r="A131" s="95" t="s">
        <v>174</v>
      </c>
      <c r="B131" s="95" t="s">
        <v>56</v>
      </c>
      <c r="C131" s="95" t="s">
        <v>175</v>
      </c>
      <c r="D131" s="95" t="s">
        <v>31</v>
      </c>
      <c r="E131" s="95" t="n">
        <v>21375</v>
      </c>
      <c r="F131" s="95" t="n">
        <v>103599</v>
      </c>
      <c r="G131" s="98" t="n">
        <v>1.107</v>
      </c>
      <c r="H131" s="95" t="n">
        <v>0.071</v>
      </c>
      <c r="I131" s="95" t="n">
        <v>0.0646</v>
      </c>
      <c r="J131" s="95"/>
      <c r="K131" s="95" t="n">
        <v>0.0018</v>
      </c>
      <c r="L131" s="95" t="n">
        <v>0</v>
      </c>
      <c r="M131" s="95" t="n">
        <f aca="false">IFERROR(ROUND(COUNTA(E131:L131)/8,2),0)</f>
        <v>0.88</v>
      </c>
      <c r="N131" s="95" t="str">
        <f aca="false">COUNTA(E131:L131)&amp;"/8 fields"</f>
        <v>7/8 fields</v>
      </c>
      <c r="O131" s="99" t="s">
        <v>104</v>
      </c>
    </row>
    <row r="132" customFormat="false" ht="15" hidden="false" customHeight="true" outlineLevel="0" collapsed="false">
      <c r="A132" s="95" t="s">
        <v>176</v>
      </c>
      <c r="B132" s="95" t="s">
        <v>170</v>
      </c>
      <c r="C132" s="95" t="s">
        <v>177</v>
      </c>
      <c r="D132" s="95" t="s">
        <v>29</v>
      </c>
      <c r="E132" s="95"/>
      <c r="F132" s="98" t="n">
        <v>4895</v>
      </c>
      <c r="G132" s="98" t="n">
        <v>0.056</v>
      </c>
      <c r="H132" s="95"/>
      <c r="I132" s="95"/>
      <c r="J132" s="95"/>
      <c r="K132" s="95"/>
      <c r="L132" s="95" t="n">
        <v>0</v>
      </c>
      <c r="M132" s="95" t="n">
        <f aca="false">IFERROR(ROUND(COUNTA(E132:L132)/8,2),0)</f>
        <v>0.38</v>
      </c>
      <c r="N132" s="95" t="str">
        <f aca="false">COUNTA(E132:L132)&amp;"/8 fields"</f>
        <v>3/8 fields</v>
      </c>
      <c r="O132" s="99" t="s">
        <v>104</v>
      </c>
    </row>
    <row r="133" customFormat="false" ht="15" hidden="false" customHeight="true" outlineLevel="0" collapsed="false">
      <c r="A133" s="95" t="s">
        <v>176</v>
      </c>
      <c r="B133" s="95" t="s">
        <v>170</v>
      </c>
      <c r="C133" s="95" t="s">
        <v>177</v>
      </c>
      <c r="D133" s="95" t="s">
        <v>31</v>
      </c>
      <c r="E133" s="95"/>
      <c r="F133" s="98" t="n">
        <v>4895</v>
      </c>
      <c r="G133" s="98" t="n">
        <v>0.056</v>
      </c>
      <c r="H133" s="95"/>
      <c r="I133" s="95"/>
      <c r="J133" s="95"/>
      <c r="K133" s="95"/>
      <c r="L133" s="95" t="n">
        <v>0</v>
      </c>
      <c r="M133" s="95" t="n">
        <f aca="false">IFERROR(ROUND(COUNTA(E133:L133)/8,2),0)</f>
        <v>0.38</v>
      </c>
      <c r="N133" s="95" t="str">
        <f aca="false">COUNTA(E133:L133)&amp;"/8 fields"</f>
        <v>3/8 fields</v>
      </c>
      <c r="O133" s="99" t="s">
        <v>104</v>
      </c>
    </row>
    <row r="134" customFormat="false" ht="15" hidden="false" customHeight="true" outlineLevel="0" collapsed="false">
      <c r="A134" s="95" t="s">
        <v>178</v>
      </c>
      <c r="B134" s="95" t="s">
        <v>66</v>
      </c>
      <c r="C134" s="95" t="s">
        <v>179</v>
      </c>
      <c r="D134" s="95" t="s">
        <v>29</v>
      </c>
      <c r="E134" s="95"/>
      <c r="F134" s="96" t="n">
        <v>6944953</v>
      </c>
      <c r="G134" s="95" t="n">
        <v>38.95</v>
      </c>
      <c r="H134" s="95"/>
      <c r="I134" s="95"/>
      <c r="J134" s="95"/>
      <c r="K134" s="95"/>
      <c r="L134" s="95" t="n">
        <v>0</v>
      </c>
      <c r="M134" s="95" t="n">
        <f aca="false">IFERROR(ROUND(COUNTA(E134:L134)/8,2),0)</f>
        <v>0.38</v>
      </c>
      <c r="N134" s="95" t="str">
        <f aca="false">COUNTA(E134:L134)&amp;"/8 fields"</f>
        <v>3/8 fields</v>
      </c>
      <c r="O134" s="97" t="s">
        <v>110</v>
      </c>
    </row>
    <row r="135" customFormat="false" ht="15" hidden="false" customHeight="true" outlineLevel="0" collapsed="false">
      <c r="A135" s="95" t="s">
        <v>178</v>
      </c>
      <c r="B135" s="95" t="s">
        <v>66</v>
      </c>
      <c r="C135" s="95" t="s">
        <v>179</v>
      </c>
      <c r="D135" s="95" t="s">
        <v>31</v>
      </c>
      <c r="E135" s="95" t="n">
        <v>724119</v>
      </c>
      <c r="F135" s="95" t="n">
        <v>6944953</v>
      </c>
      <c r="G135" s="96" t="n">
        <v>38.95</v>
      </c>
      <c r="H135" s="95" t="n">
        <v>0.077</v>
      </c>
      <c r="I135" s="95" t="n">
        <v>0.002</v>
      </c>
      <c r="J135" s="95"/>
      <c r="K135" s="95" t="n">
        <v>0.0063</v>
      </c>
      <c r="L135" s="95" t="n">
        <v>0</v>
      </c>
      <c r="M135" s="95" t="n">
        <f aca="false">IFERROR(ROUND(COUNTA(E135:L135)/8,2),0)</f>
        <v>0.88</v>
      </c>
      <c r="N135" s="95" t="str">
        <f aca="false">COUNTA(E135:L135)&amp;"/8 fields"</f>
        <v>7/8 fields</v>
      </c>
      <c r="O135" s="97" t="s">
        <v>110</v>
      </c>
    </row>
    <row r="136" customFormat="false" ht="15" hidden="false" customHeight="true" outlineLevel="0" collapsed="false">
      <c r="A136" s="95" t="s">
        <v>180</v>
      </c>
      <c r="B136" s="95" t="s">
        <v>83</v>
      </c>
      <c r="C136" s="95" t="s">
        <v>181</v>
      </c>
      <c r="D136" s="95" t="s">
        <v>29</v>
      </c>
      <c r="E136" s="95"/>
      <c r="F136" s="96" t="n">
        <v>48002762</v>
      </c>
      <c r="G136" s="95" t="n">
        <v>494.384</v>
      </c>
      <c r="H136" s="95"/>
      <c r="I136" s="95"/>
      <c r="J136" s="95"/>
      <c r="K136" s="95"/>
      <c r="L136" s="95" t="n">
        <v>0</v>
      </c>
      <c r="M136" s="95" t="n">
        <f aca="false">IFERROR(ROUND(COUNTA(E136:L136)/8,2),0)</f>
        <v>0.38</v>
      </c>
      <c r="N136" s="95" t="str">
        <f aca="false">COUNTA(E136:L136)&amp;"/8 fields"</f>
        <v>3/8 fields</v>
      </c>
      <c r="O136" s="97" t="s">
        <v>110</v>
      </c>
    </row>
    <row r="137" customFormat="false" ht="15" hidden="false" customHeight="true" outlineLevel="0" collapsed="false">
      <c r="A137" s="95" t="s">
        <v>180</v>
      </c>
      <c r="B137" s="95" t="s">
        <v>83</v>
      </c>
      <c r="C137" s="95" t="s">
        <v>181</v>
      </c>
      <c r="D137" s="95" t="s">
        <v>31</v>
      </c>
      <c r="E137" s="95" t="n">
        <v>46941683</v>
      </c>
      <c r="F137" s="95" t="n">
        <v>48002762</v>
      </c>
      <c r="G137" s="96" t="n">
        <v>494.384</v>
      </c>
      <c r="H137" s="95" t="n">
        <v>1.981</v>
      </c>
      <c r="I137" s="95" t="n">
        <v>0.004</v>
      </c>
      <c r="J137" s="95"/>
      <c r="K137" s="95" t="n">
        <v>0.0011</v>
      </c>
      <c r="L137" s="95" t="n">
        <v>0</v>
      </c>
      <c r="M137" s="95" t="n">
        <f aca="false">IFERROR(ROUND(COUNTA(E137:L137)/8,2),0)</f>
        <v>0.88</v>
      </c>
      <c r="N137" s="95" t="str">
        <f aca="false">COUNTA(E137:L137)&amp;"/8 fields"</f>
        <v>7/8 fields</v>
      </c>
      <c r="O137" s="97" t="s">
        <v>110</v>
      </c>
    </row>
    <row r="138" customFormat="false" ht="15" hidden="false" customHeight="true" outlineLevel="0" collapsed="false">
      <c r="A138" s="95" t="s">
        <v>182</v>
      </c>
      <c r="B138" s="95" t="s">
        <v>83</v>
      </c>
      <c r="C138" s="95" t="s">
        <v>183</v>
      </c>
      <c r="D138" s="95" t="s">
        <v>29</v>
      </c>
      <c r="E138" s="95" t="n">
        <v>17</v>
      </c>
      <c r="F138" s="100" t="n">
        <v>18748800</v>
      </c>
      <c r="G138" s="98" t="n">
        <v>181.665</v>
      </c>
      <c r="H138" s="95"/>
      <c r="I138" s="95"/>
      <c r="J138" s="95"/>
      <c r="K138" s="95"/>
      <c r="L138" s="95" t="n">
        <v>0</v>
      </c>
      <c r="M138" s="95" t="n">
        <f aca="false">IFERROR(ROUND(COUNTA(E138:L138)/8,2),0)</f>
        <v>0.5</v>
      </c>
      <c r="N138" s="95" t="str">
        <f aca="false">COUNTA(E138:L138)&amp;"/8 fields"</f>
        <v>4/8 fields</v>
      </c>
      <c r="O138" s="99" t="s">
        <v>104</v>
      </c>
    </row>
    <row r="139" customFormat="false" ht="15" hidden="false" customHeight="true" outlineLevel="0" collapsed="false">
      <c r="A139" s="95" t="s">
        <v>182</v>
      </c>
      <c r="B139" s="95" t="s">
        <v>83</v>
      </c>
      <c r="C139" s="95" t="s">
        <v>183</v>
      </c>
      <c r="D139" s="95" t="s">
        <v>31</v>
      </c>
      <c r="E139" s="95" t="n">
        <v>18</v>
      </c>
      <c r="F139" s="100" t="n">
        <v>19699200</v>
      </c>
      <c r="G139" s="98" t="n">
        <v>190.874</v>
      </c>
      <c r="H139" s="95"/>
      <c r="I139" s="95"/>
      <c r="J139" s="95"/>
      <c r="K139" s="95" t="n">
        <v>0.0023</v>
      </c>
      <c r="L139" s="95" t="n">
        <v>0</v>
      </c>
      <c r="M139" s="95" t="n">
        <f aca="false">IFERROR(ROUND(COUNTA(E139:L139)/8,2),0)</f>
        <v>0.63</v>
      </c>
      <c r="N139" s="95" t="str">
        <f aca="false">COUNTA(E139:L139)&amp;"/8 fields"</f>
        <v>5/8 fields</v>
      </c>
      <c r="O139" s="99" t="s">
        <v>104</v>
      </c>
    </row>
    <row r="140" customFormat="false" ht="15" hidden="false" customHeight="true" outlineLevel="0" collapsed="false">
      <c r="A140" s="95" t="s">
        <v>184</v>
      </c>
      <c r="B140" s="95" t="s">
        <v>170</v>
      </c>
      <c r="C140" s="95" t="s">
        <v>185</v>
      </c>
      <c r="D140" s="95" t="s">
        <v>29</v>
      </c>
      <c r="E140" s="95" t="n">
        <v>295</v>
      </c>
      <c r="F140" s="95" t="n">
        <v>4801</v>
      </c>
      <c r="G140" s="95" t="n">
        <v>0.087</v>
      </c>
      <c r="H140" s="95"/>
      <c r="I140" s="95"/>
      <c r="J140" s="95"/>
      <c r="K140" s="95"/>
      <c r="L140" s="95" t="n">
        <v>0</v>
      </c>
      <c r="M140" s="95" t="n">
        <f aca="false">IFERROR(ROUND(COUNTA(E140:L140)/8,2),0)</f>
        <v>0.5</v>
      </c>
      <c r="N140" s="95" t="str">
        <f aca="false">COUNTA(E140:L140)&amp;"/8 fields"</f>
        <v>4/8 fields</v>
      </c>
      <c r="O140" s="1" t="s">
        <v>109</v>
      </c>
    </row>
    <row r="141" customFormat="false" ht="15" hidden="false" customHeight="true" outlineLevel="0" collapsed="false">
      <c r="A141" s="95" t="s">
        <v>184</v>
      </c>
      <c r="B141" s="95" t="s">
        <v>170</v>
      </c>
      <c r="C141" s="95" t="s">
        <v>185</v>
      </c>
      <c r="D141" s="95" t="s">
        <v>31</v>
      </c>
      <c r="E141" s="95" t="n">
        <v>314</v>
      </c>
      <c r="F141" s="95" t="n">
        <v>3930</v>
      </c>
      <c r="G141" s="96" t="n">
        <v>0.087</v>
      </c>
      <c r="H141" s="95"/>
      <c r="I141" s="95"/>
      <c r="J141" s="95"/>
      <c r="K141" s="95"/>
      <c r="L141" s="95" t="n">
        <v>0</v>
      </c>
      <c r="M141" s="95" t="n">
        <f aca="false">IFERROR(ROUND(COUNTA(E141:L141)/8,2),0)</f>
        <v>0.5</v>
      </c>
      <c r="N141" s="95" t="str">
        <f aca="false">COUNTA(E141:L141)&amp;"/8 fields"</f>
        <v>4/8 fields</v>
      </c>
      <c r="O141" s="97" t="s">
        <v>110</v>
      </c>
    </row>
    <row r="142" customFormat="false" ht="15" hidden="false" customHeight="true" outlineLevel="0" collapsed="false">
      <c r="A142" s="95" t="s">
        <v>186</v>
      </c>
      <c r="B142" s="95" t="s">
        <v>33</v>
      </c>
      <c r="C142" s="95" t="s">
        <v>187</v>
      </c>
      <c r="D142" s="95" t="s">
        <v>29</v>
      </c>
      <c r="E142" s="95" t="n">
        <v>2604</v>
      </c>
      <c r="F142" s="95" t="n">
        <v>18321</v>
      </c>
      <c r="G142" s="95" t="n">
        <v>0.148</v>
      </c>
      <c r="H142" s="95" t="n">
        <v>0.076</v>
      </c>
      <c r="I142" s="95" t="n">
        <v>0.5135</v>
      </c>
      <c r="J142" s="95"/>
      <c r="K142" s="95"/>
      <c r="L142" s="95" t="n">
        <v>0</v>
      </c>
      <c r="M142" s="95" t="n">
        <f aca="false">IFERROR(ROUND(COUNTA(E142:L142)/8,2),0)</f>
        <v>0.75</v>
      </c>
      <c r="N142" s="95" t="str">
        <f aca="false">COUNTA(E142:L142)&amp;"/8 fields"</f>
        <v>6/8 fields</v>
      </c>
      <c r="O142" s="1" t="s">
        <v>109</v>
      </c>
    </row>
    <row r="143" customFormat="false" ht="15" hidden="false" customHeight="true" outlineLevel="0" collapsed="false">
      <c r="A143" s="95" t="s">
        <v>186</v>
      </c>
      <c r="B143" s="95" t="s">
        <v>33</v>
      </c>
      <c r="C143" s="95" t="s">
        <v>187</v>
      </c>
      <c r="D143" s="95" t="s">
        <v>31</v>
      </c>
      <c r="E143" s="95"/>
      <c r="F143" s="96" t="n">
        <v>18321</v>
      </c>
      <c r="G143" s="96" t="n">
        <v>0.148</v>
      </c>
      <c r="H143" s="95"/>
      <c r="I143" s="95"/>
      <c r="J143" s="95"/>
      <c r="K143" s="95"/>
      <c r="L143" s="95" t="n">
        <v>0</v>
      </c>
      <c r="M143" s="95" t="n">
        <f aca="false">IFERROR(ROUND(COUNTA(E143:L143)/8,2),0)</f>
        <v>0.38</v>
      </c>
      <c r="N143" s="95" t="str">
        <f aca="false">COUNTA(E143:L143)&amp;"/8 fields"</f>
        <v>3/8 fields</v>
      </c>
      <c r="O143" s="97" t="s">
        <v>110</v>
      </c>
    </row>
    <row r="144" customFormat="false" ht="15" hidden="false" customHeight="true" outlineLevel="0" collapsed="false">
      <c r="A144" s="95" t="s">
        <v>188</v>
      </c>
      <c r="B144" s="95" t="s">
        <v>102</v>
      </c>
      <c r="C144" s="95" t="s">
        <v>189</v>
      </c>
      <c r="D144" s="95" t="s">
        <v>29</v>
      </c>
      <c r="E144" s="95" t="n">
        <v>482</v>
      </c>
      <c r="F144" s="95" t="n">
        <v>18281</v>
      </c>
      <c r="G144" s="95" t="n">
        <v>0.086</v>
      </c>
      <c r="H144" s="95" t="n">
        <v>0.005</v>
      </c>
      <c r="I144" s="95" t="n">
        <v>0.0618</v>
      </c>
      <c r="J144" s="95"/>
      <c r="K144" s="95"/>
      <c r="L144" s="95" t="n">
        <v>0</v>
      </c>
      <c r="M144" s="95" t="n">
        <f aca="false">IFERROR(ROUND(COUNTA(E144:L144)/8,2),0)</f>
        <v>0.75</v>
      </c>
      <c r="N144" s="95" t="str">
        <f aca="false">COUNTA(E144:L144)&amp;"/8 fields"</f>
        <v>6/8 fields</v>
      </c>
      <c r="O144" s="1" t="s">
        <v>109</v>
      </c>
    </row>
    <row r="145" customFormat="false" ht="15" hidden="false" customHeight="true" outlineLevel="0" collapsed="false">
      <c r="A145" s="95" t="s">
        <v>188</v>
      </c>
      <c r="B145" s="95" t="s">
        <v>102</v>
      </c>
      <c r="C145" s="95" t="s">
        <v>189</v>
      </c>
      <c r="D145" s="95" t="s">
        <v>31</v>
      </c>
      <c r="E145" s="95" t="n">
        <v>247</v>
      </c>
      <c r="F145" s="95" t="n">
        <v>17197</v>
      </c>
      <c r="G145" s="96" t="n">
        <v>0.086</v>
      </c>
      <c r="H145" s="95" t="n">
        <v>0.023</v>
      </c>
      <c r="I145" s="95" t="n">
        <v>0.2727</v>
      </c>
      <c r="J145" s="95"/>
      <c r="K145" s="95" t="n">
        <v>0.001</v>
      </c>
      <c r="L145" s="95" t="n">
        <v>0</v>
      </c>
      <c r="M145" s="95" t="n">
        <f aca="false">IFERROR(ROUND(COUNTA(E145:L145)/8,2),0)</f>
        <v>0.88</v>
      </c>
      <c r="N145" s="95" t="str">
        <f aca="false">COUNTA(E145:L145)&amp;"/8 fields"</f>
        <v>7/8 fields</v>
      </c>
      <c r="O145" s="97" t="s">
        <v>110</v>
      </c>
    </row>
    <row r="146" customFormat="false" ht="15" hidden="false" customHeight="true" outlineLevel="0" collapsed="false">
      <c r="A146" s="95" t="s">
        <v>190</v>
      </c>
      <c r="B146" s="95" t="s">
        <v>116</v>
      </c>
      <c r="C146" s="95" t="s">
        <v>191</v>
      </c>
      <c r="D146" s="95" t="s">
        <v>29</v>
      </c>
      <c r="E146" s="95" t="n">
        <v>86910</v>
      </c>
      <c r="F146" s="95" t="n">
        <v>410755</v>
      </c>
      <c r="G146" s="95" t="n">
        <v>2.652</v>
      </c>
      <c r="H146" s="95"/>
      <c r="I146" s="95"/>
      <c r="J146" s="95"/>
      <c r="K146" s="95" t="n">
        <v>0.15</v>
      </c>
      <c r="L146" s="95" t="n">
        <v>0</v>
      </c>
      <c r="M146" s="95" t="n">
        <f aca="false">IFERROR(ROUND(COUNTA(E146:L146)/8,2),0)</f>
        <v>0.63</v>
      </c>
      <c r="N146" s="95" t="str">
        <f aca="false">COUNTA(E146:L146)&amp;"/8 fields"</f>
        <v>5/8 fields</v>
      </c>
      <c r="O146" s="1" t="s">
        <v>109</v>
      </c>
    </row>
    <row r="147" customFormat="false" ht="15" hidden="false" customHeight="true" outlineLevel="0" collapsed="false">
      <c r="A147" s="95" t="s">
        <v>190</v>
      </c>
      <c r="B147" s="95" t="s">
        <v>116</v>
      </c>
      <c r="C147" s="95" t="s">
        <v>191</v>
      </c>
      <c r="D147" s="95" t="s">
        <v>31</v>
      </c>
      <c r="E147" s="95"/>
      <c r="F147" s="96" t="n">
        <v>410755</v>
      </c>
      <c r="G147" s="96" t="n">
        <v>2.652</v>
      </c>
      <c r="H147" s="95" t="n">
        <v>0.634</v>
      </c>
      <c r="I147" s="95" t="n">
        <v>0.2392</v>
      </c>
      <c r="J147" s="95"/>
      <c r="K147" s="95" t="n">
        <v>0.004</v>
      </c>
      <c r="L147" s="95" t="n">
        <v>0</v>
      </c>
      <c r="M147" s="95" t="n">
        <f aca="false">IFERROR(ROUND(COUNTA(E147:L147)/8,2),0)</f>
        <v>0.75</v>
      </c>
      <c r="N147" s="95" t="str">
        <f aca="false">COUNTA(E147:L147)&amp;"/8 fields"</f>
        <v>6/8 fields</v>
      </c>
      <c r="O147" s="97" t="s">
        <v>110</v>
      </c>
    </row>
    <row r="148" customFormat="false" ht="15" hidden="false" customHeight="true" outlineLevel="0" collapsed="false">
      <c r="A148" s="95" t="s">
        <v>192</v>
      </c>
      <c r="B148" s="95" t="s">
        <v>43</v>
      </c>
      <c r="C148" s="95" t="s">
        <v>193</v>
      </c>
      <c r="D148" s="95" t="s">
        <v>29</v>
      </c>
      <c r="E148" s="95" t="n">
        <v>780</v>
      </c>
      <c r="F148" s="95" t="n">
        <v>12556</v>
      </c>
      <c r="G148" s="95" t="n">
        <v>0.174</v>
      </c>
      <c r="H148" s="95" t="n">
        <v>0.115</v>
      </c>
      <c r="I148" s="95" t="n">
        <v>0.6617</v>
      </c>
      <c r="J148" s="95"/>
      <c r="K148" s="95"/>
      <c r="L148" s="95" t="n">
        <v>0</v>
      </c>
      <c r="M148" s="95" t="n">
        <f aca="false">IFERROR(ROUND(COUNTA(E148:L148)/8,2),0)</f>
        <v>0.75</v>
      </c>
      <c r="N148" s="95" t="str">
        <f aca="false">COUNTA(E148:L148)&amp;"/8 fields"</f>
        <v>6/8 fields</v>
      </c>
      <c r="O148" s="1" t="s">
        <v>109</v>
      </c>
    </row>
    <row r="149" customFormat="false" ht="15" hidden="false" customHeight="true" outlineLevel="0" collapsed="false">
      <c r="A149" s="95" t="s">
        <v>192</v>
      </c>
      <c r="B149" s="95" t="s">
        <v>43</v>
      </c>
      <c r="C149" s="95" t="s">
        <v>193</v>
      </c>
      <c r="D149" s="95" t="s">
        <v>31</v>
      </c>
      <c r="E149" s="95" t="n">
        <v>1053</v>
      </c>
      <c r="F149" s="95" t="n">
        <v>10765</v>
      </c>
      <c r="G149" s="96" t="n">
        <v>0.174</v>
      </c>
      <c r="H149" s="95" t="n">
        <v>0.119</v>
      </c>
      <c r="I149" s="95" t="n">
        <v>0.6806</v>
      </c>
      <c r="J149" s="95"/>
      <c r="K149" s="95" t="n">
        <v>0.0061</v>
      </c>
      <c r="L149" s="95" t="n">
        <v>0</v>
      </c>
      <c r="M149" s="95" t="n">
        <f aca="false">IFERROR(ROUND(COUNTA(E149:L149)/8,2),0)</f>
        <v>0.88</v>
      </c>
      <c r="N149" s="95" t="str">
        <f aca="false">COUNTA(E149:L149)&amp;"/8 fields"</f>
        <v>7/8 fields</v>
      </c>
      <c r="O149" s="97" t="s">
        <v>110</v>
      </c>
    </row>
    <row r="150" customFormat="false" ht="15" hidden="false" customHeight="true" outlineLevel="0" collapsed="false">
      <c r="A150" s="95" t="s">
        <v>194</v>
      </c>
      <c r="B150" s="95" t="s">
        <v>56</v>
      </c>
      <c r="C150" s="95" t="s">
        <v>195</v>
      </c>
      <c r="D150" s="95" t="s">
        <v>29</v>
      </c>
      <c r="E150" s="95" t="n">
        <v>223289</v>
      </c>
      <c r="F150" s="95" t="n">
        <v>429915</v>
      </c>
      <c r="G150" s="95" t="n">
        <v>5.122</v>
      </c>
      <c r="H150" s="95" t="n">
        <v>0.136</v>
      </c>
      <c r="I150" s="95" t="n">
        <v>0.0266</v>
      </c>
      <c r="J150" s="95"/>
      <c r="K150" s="95"/>
      <c r="L150" s="95" t="n">
        <v>0</v>
      </c>
      <c r="M150" s="95" t="n">
        <f aca="false">IFERROR(ROUND(COUNTA(E150:L150)/8,2),0)</f>
        <v>0.75</v>
      </c>
      <c r="N150" s="95" t="str">
        <f aca="false">COUNTA(E150:L150)&amp;"/8 fields"</f>
        <v>6/8 fields</v>
      </c>
      <c r="O150" s="1" t="s">
        <v>109</v>
      </c>
    </row>
    <row r="151" customFormat="false" ht="15" hidden="false" customHeight="true" outlineLevel="0" collapsed="false">
      <c r="A151" s="95" t="s">
        <v>194</v>
      </c>
      <c r="B151" s="95" t="s">
        <v>56</v>
      </c>
      <c r="C151" s="95" t="s">
        <v>195</v>
      </c>
      <c r="D151" s="95" t="s">
        <v>31</v>
      </c>
      <c r="E151" s="95" t="n">
        <v>212545</v>
      </c>
      <c r="F151" s="95" t="n">
        <v>414612</v>
      </c>
      <c r="G151" s="96" t="n">
        <v>5.122</v>
      </c>
      <c r="H151" s="95" t="n">
        <v>0.309</v>
      </c>
      <c r="I151" s="95" t="n">
        <v>0.0603</v>
      </c>
      <c r="J151" s="95"/>
      <c r="K151" s="95" t="n">
        <v>0.0047</v>
      </c>
      <c r="L151" s="95" t="n">
        <v>0</v>
      </c>
      <c r="M151" s="95" t="n">
        <f aca="false">IFERROR(ROUND(COUNTA(E151:L151)/8,2),0)</f>
        <v>0.88</v>
      </c>
      <c r="N151" s="95" t="str">
        <f aca="false">COUNTA(E151:L151)&amp;"/8 fields"</f>
        <v>7/8 fields</v>
      </c>
      <c r="O151" s="97" t="s">
        <v>110</v>
      </c>
    </row>
    <row r="152" customFormat="false" ht="15" hidden="false" customHeight="true" outlineLevel="0" collapsed="false">
      <c r="A152" s="95" t="s">
        <v>196</v>
      </c>
      <c r="B152" s="95" t="s">
        <v>33</v>
      </c>
      <c r="C152" s="95" t="s">
        <v>197</v>
      </c>
      <c r="D152" s="95" t="s">
        <v>29</v>
      </c>
      <c r="E152" s="95"/>
      <c r="F152" s="98" t="n">
        <v>68661</v>
      </c>
      <c r="G152" s="95" t="n">
        <v>0.023</v>
      </c>
      <c r="H152" s="95"/>
      <c r="I152" s="95"/>
      <c r="J152" s="95"/>
      <c r="K152" s="95"/>
      <c r="L152" s="95" t="n">
        <v>0</v>
      </c>
      <c r="M152" s="95" t="n">
        <f aca="false">IFERROR(ROUND(COUNTA(E152:L152)/8,2),0)</f>
        <v>0.38</v>
      </c>
      <c r="N152" s="95" t="str">
        <f aca="false">COUNTA(E152:L152)&amp;"/8 fields"</f>
        <v>3/8 fields</v>
      </c>
      <c r="O152" s="99" t="s">
        <v>104</v>
      </c>
    </row>
    <row r="153" customFormat="false" ht="15" hidden="false" customHeight="true" outlineLevel="0" collapsed="false">
      <c r="A153" s="95" t="s">
        <v>196</v>
      </c>
      <c r="B153" s="95" t="s">
        <v>33</v>
      </c>
      <c r="C153" s="95" t="s">
        <v>197</v>
      </c>
      <c r="D153" s="95" t="s">
        <v>31</v>
      </c>
      <c r="E153" s="95"/>
      <c r="F153" s="98" t="n">
        <v>68661</v>
      </c>
      <c r="G153" s="96" t="n">
        <v>0.023</v>
      </c>
      <c r="H153" s="95"/>
      <c r="I153" s="95"/>
      <c r="J153" s="95"/>
      <c r="K153" s="95"/>
      <c r="L153" s="95" t="n">
        <v>0</v>
      </c>
      <c r="M153" s="95" t="n">
        <f aca="false">IFERROR(ROUND(COUNTA(E153:L153)/8,2),0)</f>
        <v>0.38</v>
      </c>
      <c r="N153" s="95" t="str">
        <f aca="false">COUNTA(E153:L153)&amp;"/8 fields"</f>
        <v>3/8 fields</v>
      </c>
      <c r="O153" s="99" t="s">
        <v>104</v>
      </c>
    </row>
    <row r="154" customFormat="false" ht="15" hidden="false" customHeight="true" outlineLevel="0" collapsed="false">
      <c r="A154" s="95" t="s">
        <v>198</v>
      </c>
      <c r="B154" s="95" t="s">
        <v>121</v>
      </c>
      <c r="C154" s="95" t="s">
        <v>199</v>
      </c>
      <c r="D154" s="95" t="s">
        <v>29</v>
      </c>
      <c r="E154" s="95" t="n">
        <v>11643</v>
      </c>
      <c r="F154" s="95" t="n">
        <v>66579</v>
      </c>
      <c r="G154" s="95" t="n">
        <v>0.306</v>
      </c>
      <c r="H154" s="95"/>
      <c r="I154" s="95"/>
      <c r="J154" s="95"/>
      <c r="K154" s="95"/>
      <c r="L154" s="95" t="n">
        <v>0</v>
      </c>
      <c r="M154" s="95" t="n">
        <f aca="false">IFERROR(ROUND(COUNTA(E154:L154)/8,2),0)</f>
        <v>0.5</v>
      </c>
      <c r="N154" s="95" t="str">
        <f aca="false">COUNTA(E154:L154)&amp;"/8 fields"</f>
        <v>4/8 fields</v>
      </c>
      <c r="O154" s="1" t="s">
        <v>109</v>
      </c>
    </row>
    <row r="155" customFormat="false" ht="15" hidden="false" customHeight="true" outlineLevel="0" collapsed="false">
      <c r="A155" s="95" t="s">
        <v>198</v>
      </c>
      <c r="B155" s="95" t="s">
        <v>121</v>
      </c>
      <c r="C155" s="95" t="s">
        <v>199</v>
      </c>
      <c r="D155" s="95" t="s">
        <v>31</v>
      </c>
      <c r="E155" s="95" t="n">
        <v>992</v>
      </c>
      <c r="F155" s="95" t="n">
        <v>21540</v>
      </c>
      <c r="G155" s="96" t="n">
        <v>0.306</v>
      </c>
      <c r="H155" s="95"/>
      <c r="I155" s="95"/>
      <c r="J155" s="95"/>
      <c r="K155" s="95" t="n">
        <v>0.0014</v>
      </c>
      <c r="L155" s="95" t="n">
        <v>0</v>
      </c>
      <c r="M155" s="95" t="n">
        <f aca="false">IFERROR(ROUND(COUNTA(E155:L155)/8,2),0)</f>
        <v>0.63</v>
      </c>
      <c r="N155" s="95" t="str">
        <f aca="false">COUNTA(E155:L155)&amp;"/8 fields"</f>
        <v>5/8 fields</v>
      </c>
      <c r="O155" s="97" t="s">
        <v>110</v>
      </c>
    </row>
    <row r="156" customFormat="false" ht="15" hidden="false" customHeight="true" outlineLevel="0" collapsed="false">
      <c r="A156" s="95" t="s">
        <v>200</v>
      </c>
      <c r="B156" s="95" t="s">
        <v>83</v>
      </c>
      <c r="C156" s="95" t="s">
        <v>201</v>
      </c>
      <c r="D156" s="95" t="s">
        <v>29</v>
      </c>
      <c r="E156" s="95" t="n">
        <v>10199426</v>
      </c>
      <c r="F156" s="95" t="n">
        <v>11186395</v>
      </c>
      <c r="G156" s="95" t="n">
        <v>102.943</v>
      </c>
      <c r="H156" s="95"/>
      <c r="I156" s="95"/>
      <c r="J156" s="95" t="n">
        <v>0.5</v>
      </c>
      <c r="K156" s="95"/>
      <c r="L156" s="95" t="n">
        <v>0</v>
      </c>
      <c r="M156" s="95" t="n">
        <f aca="false">IFERROR(ROUND(COUNTA(E156:L156)/8,2),0)</f>
        <v>0.63</v>
      </c>
      <c r="N156" s="95" t="str">
        <f aca="false">COUNTA(E156:L156)&amp;"/8 fields"</f>
        <v>5/8 fields</v>
      </c>
      <c r="O156" s="1" t="s">
        <v>109</v>
      </c>
    </row>
    <row r="157" customFormat="false" ht="15" hidden="false" customHeight="true" outlineLevel="0" collapsed="false">
      <c r="A157" s="95" t="s">
        <v>200</v>
      </c>
      <c r="B157" s="95" t="s">
        <v>83</v>
      </c>
      <c r="C157" s="95" t="s">
        <v>201</v>
      </c>
      <c r="D157" s="95" t="s">
        <v>31</v>
      </c>
      <c r="E157" s="95" t="n">
        <v>11040113</v>
      </c>
      <c r="F157" s="95" t="n">
        <v>11492323</v>
      </c>
      <c r="G157" s="96" t="n">
        <v>102.943</v>
      </c>
      <c r="H157" s="95" t="n">
        <v>0.322</v>
      </c>
      <c r="I157" s="95" t="n">
        <v>0.0031</v>
      </c>
      <c r="J157" s="95" t="n">
        <v>0.5</v>
      </c>
      <c r="K157" s="95"/>
      <c r="L157" s="95" t="n">
        <v>0</v>
      </c>
      <c r="M157" s="95" t="n">
        <f aca="false">IFERROR(ROUND(COUNTA(E157:L157)/8,2),0)</f>
        <v>0.88</v>
      </c>
      <c r="N157" s="95" t="str">
        <f aca="false">COUNTA(E157:L157)&amp;"/8 fields"</f>
        <v>7/8 fields</v>
      </c>
      <c r="O157" s="97" t="s">
        <v>110</v>
      </c>
    </row>
    <row r="158" customFormat="false" ht="15" hidden="false" customHeight="true" outlineLevel="0" collapsed="false">
      <c r="A158" s="95" t="s">
        <v>202</v>
      </c>
      <c r="B158" s="95" t="s">
        <v>83</v>
      </c>
      <c r="C158" s="95" t="s">
        <v>203</v>
      </c>
      <c r="D158" s="95" t="s">
        <v>29</v>
      </c>
      <c r="E158" s="95" t="n">
        <v>62562</v>
      </c>
      <c r="F158" s="95" t="n">
        <v>116673</v>
      </c>
      <c r="G158" s="98" t="n">
        <v>1.13</v>
      </c>
      <c r="H158" s="95" t="n">
        <v>0.004</v>
      </c>
      <c r="I158" s="95" t="n">
        <v>0.0037</v>
      </c>
      <c r="J158" s="95"/>
      <c r="K158" s="95"/>
      <c r="L158" s="95" t="n">
        <v>0</v>
      </c>
      <c r="M158" s="95" t="n">
        <f aca="false">IFERROR(ROUND(COUNTA(E158:L158)/8,2),0)</f>
        <v>0.75</v>
      </c>
      <c r="N158" s="95" t="str">
        <f aca="false">COUNTA(E158:L158)&amp;"/8 fields"</f>
        <v>6/8 fields</v>
      </c>
      <c r="O158" s="99" t="s">
        <v>104</v>
      </c>
    </row>
    <row r="159" customFormat="false" ht="15" hidden="false" customHeight="true" outlineLevel="0" collapsed="false">
      <c r="A159" s="95" t="s">
        <v>202</v>
      </c>
      <c r="B159" s="95" t="s">
        <v>83</v>
      </c>
      <c r="C159" s="95" t="s">
        <v>203</v>
      </c>
      <c r="D159" s="95" t="s">
        <v>31</v>
      </c>
      <c r="E159" s="95"/>
      <c r="F159" s="96" t="n">
        <v>116673</v>
      </c>
      <c r="G159" s="98" t="n">
        <v>1.13</v>
      </c>
      <c r="H159" s="95" t="n">
        <v>0.006</v>
      </c>
      <c r="I159" s="95" t="n">
        <v>0.0057</v>
      </c>
      <c r="J159" s="95"/>
      <c r="K159" s="95" t="n">
        <v>0.0013</v>
      </c>
      <c r="L159" s="95" t="n">
        <v>0</v>
      </c>
      <c r="M159" s="95" t="n">
        <f aca="false">IFERROR(ROUND(COUNTA(E159:L159)/8,2),0)</f>
        <v>0.75</v>
      </c>
      <c r="N159" s="95" t="str">
        <f aca="false">COUNTA(E159:L159)&amp;"/8 fields"</f>
        <v>6/8 fields</v>
      </c>
      <c r="O159" s="99" t="s">
        <v>104</v>
      </c>
    </row>
    <row r="160" customFormat="false" ht="15" hidden="false" customHeight="true" outlineLevel="0" collapsed="false">
      <c r="A160" s="95" t="s">
        <v>204</v>
      </c>
      <c r="B160" s="95" t="s">
        <v>27</v>
      </c>
      <c r="C160" s="95" t="s">
        <v>205</v>
      </c>
      <c r="D160" s="95" t="s">
        <v>29</v>
      </c>
      <c r="E160" s="95" t="n">
        <v>336</v>
      </c>
      <c r="F160" s="98" t="n">
        <v>954308</v>
      </c>
      <c r="G160" s="95" t="n">
        <v>3.743</v>
      </c>
      <c r="H160" s="95"/>
      <c r="I160" s="95"/>
      <c r="J160" s="95"/>
      <c r="K160" s="95"/>
      <c r="L160" s="95" t="n">
        <v>0</v>
      </c>
      <c r="M160" s="95" t="n">
        <f aca="false">IFERROR(ROUND(COUNTA(E160:L160)/8,2),0)</f>
        <v>0.5</v>
      </c>
      <c r="N160" s="95" t="str">
        <f aca="false">COUNTA(E160:L160)&amp;"/8 fields"</f>
        <v>4/8 fields</v>
      </c>
      <c r="O160" s="99" t="s">
        <v>104</v>
      </c>
    </row>
    <row r="161" customFormat="false" ht="15" hidden="false" customHeight="true" outlineLevel="0" collapsed="false">
      <c r="A161" s="95" t="s">
        <v>204</v>
      </c>
      <c r="B161" s="95" t="s">
        <v>27</v>
      </c>
      <c r="C161" s="95" t="s">
        <v>205</v>
      </c>
      <c r="D161" s="95" t="s">
        <v>31</v>
      </c>
      <c r="E161" s="95"/>
      <c r="F161" s="98" t="n">
        <v>954308</v>
      </c>
      <c r="G161" s="96" t="n">
        <v>3.743</v>
      </c>
      <c r="H161" s="95" t="n">
        <v>0.002</v>
      </c>
      <c r="I161" s="95" t="n">
        <v>0.0006</v>
      </c>
      <c r="J161" s="95"/>
      <c r="K161" s="95"/>
      <c r="L161" s="95" t="n">
        <v>0</v>
      </c>
      <c r="M161" s="95" t="n">
        <f aca="false">IFERROR(ROUND(COUNTA(E161:L161)/8,2),0)</f>
        <v>0.63</v>
      </c>
      <c r="N161" s="95" t="str">
        <f aca="false">COUNTA(E161:L161)&amp;"/8 fields"</f>
        <v>5/8 fields</v>
      </c>
      <c r="O161" s="99" t="s">
        <v>104</v>
      </c>
    </row>
    <row r="162" customFormat="false" ht="15" hidden="false" customHeight="true" outlineLevel="0" collapsed="false">
      <c r="A162" s="95" t="s">
        <v>206</v>
      </c>
      <c r="B162" s="95" t="s">
        <v>27</v>
      </c>
      <c r="C162" s="95" t="s">
        <v>207</v>
      </c>
      <c r="D162" s="95" t="s">
        <v>29</v>
      </c>
      <c r="E162" s="95"/>
      <c r="F162" s="96" t="n">
        <v>9363199</v>
      </c>
      <c r="G162" s="95" t="n">
        <v>133.968</v>
      </c>
      <c r="H162" s="95" t="n">
        <v>0.351</v>
      </c>
      <c r="I162" s="95" t="n">
        <v>0.0026</v>
      </c>
      <c r="J162" s="95"/>
      <c r="K162" s="95"/>
      <c r="L162" s="95" t="n">
        <v>0</v>
      </c>
      <c r="M162" s="95" t="n">
        <f aca="false">IFERROR(ROUND(COUNTA(E162:L162)/8,2),0)</f>
        <v>0.63</v>
      </c>
      <c r="N162" s="95" t="str">
        <f aca="false">COUNTA(E162:L162)&amp;"/8 fields"</f>
        <v>5/8 fields</v>
      </c>
      <c r="O162" s="97" t="s">
        <v>110</v>
      </c>
    </row>
    <row r="163" customFormat="false" ht="15" hidden="false" customHeight="true" outlineLevel="0" collapsed="false">
      <c r="A163" s="95" t="s">
        <v>206</v>
      </c>
      <c r="B163" s="95" t="s">
        <v>27</v>
      </c>
      <c r="C163" s="95" t="s">
        <v>207</v>
      </c>
      <c r="D163" s="95" t="s">
        <v>31</v>
      </c>
      <c r="E163" s="95" t="n">
        <v>8961199</v>
      </c>
      <c r="F163" s="95" t="n">
        <v>9363199</v>
      </c>
      <c r="G163" s="96" t="n">
        <v>133.968</v>
      </c>
      <c r="H163" s="95" t="n">
        <v>0.317</v>
      </c>
      <c r="I163" s="95" t="n">
        <v>0.0024</v>
      </c>
      <c r="J163" s="95"/>
      <c r="K163" s="95" t="n">
        <v>0.0029</v>
      </c>
      <c r="L163" s="95" t="n">
        <v>0</v>
      </c>
      <c r="M163" s="95" t="n">
        <f aca="false">IFERROR(ROUND(COUNTA(E163:L163)/8,2),0)</f>
        <v>0.88</v>
      </c>
      <c r="N163" s="95" t="str">
        <f aca="false">COUNTA(E163:L163)&amp;"/8 fields"</f>
        <v>7/8 fields</v>
      </c>
      <c r="O163" s="97" t="s">
        <v>110</v>
      </c>
    </row>
    <row r="164" customFormat="false" ht="15" hidden="false" customHeight="true" outlineLevel="0" collapsed="false">
      <c r="A164" s="95" t="s">
        <v>208</v>
      </c>
      <c r="B164" s="95" t="s">
        <v>33</v>
      </c>
      <c r="C164" s="95" t="s">
        <v>209</v>
      </c>
      <c r="D164" s="95" t="s">
        <v>29</v>
      </c>
      <c r="E164" s="95"/>
      <c r="F164" s="98" t="n">
        <v>68661</v>
      </c>
      <c r="G164" s="98" t="n">
        <v>0.364</v>
      </c>
      <c r="H164" s="95"/>
      <c r="I164" s="95"/>
      <c r="J164" s="95"/>
      <c r="K164" s="95"/>
      <c r="L164" s="95" t="n">
        <v>0</v>
      </c>
      <c r="M164" s="95" t="n">
        <f aca="false">IFERROR(ROUND(COUNTA(E164:L164)/8,2),0)</f>
        <v>0.38</v>
      </c>
      <c r="N164" s="95" t="str">
        <f aca="false">COUNTA(E164:L164)&amp;"/8 fields"</f>
        <v>3/8 fields</v>
      </c>
      <c r="O164" s="99" t="s">
        <v>104</v>
      </c>
    </row>
    <row r="165" customFormat="false" ht="15" hidden="false" customHeight="true" outlineLevel="0" collapsed="false">
      <c r="A165" s="95" t="s">
        <v>208</v>
      </c>
      <c r="B165" s="95" t="s">
        <v>33</v>
      </c>
      <c r="C165" s="95" t="s">
        <v>209</v>
      </c>
      <c r="D165" s="95" t="s">
        <v>31</v>
      </c>
      <c r="E165" s="95"/>
      <c r="F165" s="98" t="n">
        <v>68661</v>
      </c>
      <c r="G165" s="98" t="n">
        <v>0.364</v>
      </c>
      <c r="H165" s="95"/>
      <c r="I165" s="95"/>
      <c r="J165" s="95"/>
      <c r="K165" s="95"/>
      <c r="L165" s="95" t="n">
        <v>0</v>
      </c>
      <c r="M165" s="95" t="n">
        <f aca="false">IFERROR(ROUND(COUNTA(E165:L165)/8,2),0)</f>
        <v>0.38</v>
      </c>
      <c r="N165" s="95" t="str">
        <f aca="false">COUNTA(E165:L165)&amp;"/8 fields"</f>
        <v>3/8 fields</v>
      </c>
      <c r="O165" s="99" t="s">
        <v>104</v>
      </c>
    </row>
    <row r="166" customFormat="false" ht="15" hidden="false" customHeight="true" outlineLevel="0" collapsed="false">
      <c r="A166" s="95" t="s">
        <v>210</v>
      </c>
      <c r="B166" s="95" t="s">
        <v>38</v>
      </c>
      <c r="C166" s="95" t="s">
        <v>211</v>
      </c>
      <c r="D166" s="95" t="s">
        <v>29</v>
      </c>
      <c r="E166" s="95"/>
      <c r="F166" s="96" t="n">
        <v>205583</v>
      </c>
      <c r="G166" s="98" t="n">
        <v>0.964</v>
      </c>
      <c r="H166" s="95"/>
      <c r="I166" s="95"/>
      <c r="J166" s="95"/>
      <c r="K166" s="95"/>
      <c r="L166" s="95" t="n">
        <v>0</v>
      </c>
      <c r="M166" s="95" t="n">
        <f aca="false">IFERROR(ROUND(COUNTA(E166:L166)/8,2),0)</f>
        <v>0.38</v>
      </c>
      <c r="N166" s="95" t="str">
        <f aca="false">COUNTA(E166:L166)&amp;"/8 fields"</f>
        <v>3/8 fields</v>
      </c>
      <c r="O166" s="99" t="s">
        <v>104</v>
      </c>
    </row>
    <row r="167" customFormat="false" ht="15" hidden="false" customHeight="true" outlineLevel="0" collapsed="false">
      <c r="A167" s="95" t="s">
        <v>210</v>
      </c>
      <c r="B167" s="95" t="s">
        <v>38</v>
      </c>
      <c r="C167" s="95" t="s">
        <v>211</v>
      </c>
      <c r="D167" s="95" t="s">
        <v>31</v>
      </c>
      <c r="E167" s="95" t="n">
        <v>8494</v>
      </c>
      <c r="F167" s="95" t="n">
        <v>205583</v>
      </c>
      <c r="G167" s="98" t="n">
        <v>0.964</v>
      </c>
      <c r="H167" s="95"/>
      <c r="I167" s="95"/>
      <c r="J167" s="95"/>
      <c r="K167" s="95"/>
      <c r="L167" s="95" t="n">
        <v>0</v>
      </c>
      <c r="M167" s="95" t="n">
        <f aca="false">IFERROR(ROUND(COUNTA(E167:L167)/8,2),0)</f>
        <v>0.5</v>
      </c>
      <c r="N167" s="95" t="str">
        <f aca="false">COUNTA(E167:L167)&amp;"/8 fields"</f>
        <v>4/8 fields</v>
      </c>
      <c r="O167" s="99" t="s">
        <v>104</v>
      </c>
    </row>
    <row r="168" customFormat="false" ht="15" hidden="false" customHeight="true" outlineLevel="0" collapsed="false">
      <c r="A168" s="95" t="s">
        <v>212</v>
      </c>
      <c r="B168" s="95" t="s">
        <v>121</v>
      </c>
      <c r="C168" s="95" t="s">
        <v>213</v>
      </c>
      <c r="D168" s="95" t="s">
        <v>29</v>
      </c>
      <c r="E168" s="95" t="n">
        <v>4150</v>
      </c>
      <c r="F168" s="95" t="n">
        <v>6275</v>
      </c>
      <c r="G168" s="95" t="n">
        <v>0.051</v>
      </c>
      <c r="H168" s="95"/>
      <c r="I168" s="95"/>
      <c r="J168" s="95"/>
      <c r="K168" s="95"/>
      <c r="L168" s="95" t="n">
        <v>0</v>
      </c>
      <c r="M168" s="95" t="n">
        <f aca="false">IFERROR(ROUND(COUNTA(E168:L168)/8,2),0)</f>
        <v>0.5</v>
      </c>
      <c r="N168" s="95" t="str">
        <f aca="false">COUNTA(E168:L168)&amp;"/8 fields"</f>
        <v>4/8 fields</v>
      </c>
      <c r="O168" s="1" t="s">
        <v>109</v>
      </c>
    </row>
    <row r="169" customFormat="false" ht="15" hidden="false" customHeight="true" outlineLevel="0" collapsed="false">
      <c r="A169" s="95" t="s">
        <v>212</v>
      </c>
      <c r="B169" s="95" t="s">
        <v>121</v>
      </c>
      <c r="C169" s="95" t="s">
        <v>213</v>
      </c>
      <c r="D169" s="95" t="s">
        <v>31</v>
      </c>
      <c r="E169" s="95"/>
      <c r="F169" s="96" t="n">
        <v>6275</v>
      </c>
      <c r="G169" s="96" t="n">
        <v>0.051</v>
      </c>
      <c r="H169" s="95"/>
      <c r="I169" s="95"/>
      <c r="J169" s="95"/>
      <c r="K169" s="95"/>
      <c r="L169" s="95" t="n">
        <v>0</v>
      </c>
      <c r="M169" s="95" t="n">
        <f aca="false">IFERROR(ROUND(COUNTA(E169:L169)/8,2),0)</f>
        <v>0.38</v>
      </c>
      <c r="N169" s="95" t="str">
        <f aca="false">COUNTA(E169:L169)&amp;"/8 fields"</f>
        <v>3/8 fields</v>
      </c>
      <c r="O169" s="97" t="s">
        <v>110</v>
      </c>
    </row>
    <row r="170" customFormat="false" ht="15" hidden="false" customHeight="true" outlineLevel="0" collapsed="false">
      <c r="A170" s="95" t="s">
        <v>214</v>
      </c>
      <c r="B170" s="95" t="s">
        <v>33</v>
      </c>
      <c r="C170" s="95" t="s">
        <v>215</v>
      </c>
      <c r="D170" s="95" t="s">
        <v>29</v>
      </c>
      <c r="E170" s="95" t="n">
        <v>314</v>
      </c>
      <c r="F170" s="95" t="n">
        <v>6204</v>
      </c>
      <c r="G170" s="95" t="n">
        <v>0.02</v>
      </c>
      <c r="H170" s="95"/>
      <c r="I170" s="95"/>
      <c r="J170" s="95"/>
      <c r="K170" s="95"/>
      <c r="L170" s="95" t="n">
        <v>0</v>
      </c>
      <c r="M170" s="95" t="n">
        <f aca="false">IFERROR(ROUND(COUNTA(E170:L170)/8,2),0)</f>
        <v>0.5</v>
      </c>
      <c r="N170" s="95" t="str">
        <f aca="false">COUNTA(E170:L170)&amp;"/8 fields"</f>
        <v>4/8 fields</v>
      </c>
      <c r="O170" s="1" t="s">
        <v>109</v>
      </c>
    </row>
    <row r="171" customFormat="false" ht="15" hidden="false" customHeight="true" outlineLevel="0" collapsed="false">
      <c r="A171" s="95" t="s">
        <v>214</v>
      </c>
      <c r="B171" s="95" t="s">
        <v>33</v>
      </c>
      <c r="C171" s="95" t="s">
        <v>215</v>
      </c>
      <c r="D171" s="95" t="s">
        <v>31</v>
      </c>
      <c r="E171" s="95" t="n">
        <v>1026</v>
      </c>
      <c r="F171" s="95" t="n">
        <v>7518</v>
      </c>
      <c r="G171" s="96" t="n">
        <v>0.02</v>
      </c>
      <c r="H171" s="95" t="n">
        <v>0.023</v>
      </c>
      <c r="I171" s="95" t="n">
        <v>1.16</v>
      </c>
      <c r="J171" s="95"/>
      <c r="K171" s="95"/>
      <c r="L171" s="95" t="n">
        <v>0</v>
      </c>
      <c r="M171" s="95" t="n">
        <f aca="false">IFERROR(ROUND(COUNTA(E171:L171)/8,2),0)</f>
        <v>0.75</v>
      </c>
      <c r="N171" s="95" t="str">
        <f aca="false">COUNTA(E171:L171)&amp;"/8 fields"</f>
        <v>6/8 fields</v>
      </c>
      <c r="O171" s="97" t="s">
        <v>110</v>
      </c>
    </row>
    <row r="172" customFormat="false" ht="15" hidden="false" customHeight="true" outlineLevel="0" collapsed="false">
      <c r="A172" s="95" t="s">
        <v>216</v>
      </c>
      <c r="B172" s="95" t="s">
        <v>50</v>
      </c>
      <c r="C172" s="95" t="s">
        <v>217</v>
      </c>
      <c r="D172" s="95" t="s">
        <v>29</v>
      </c>
      <c r="E172" s="95" t="n">
        <v>9881</v>
      </c>
      <c r="F172" s="95" t="n">
        <v>43167</v>
      </c>
      <c r="G172" s="95" t="n">
        <v>0.622</v>
      </c>
      <c r="H172" s="95"/>
      <c r="I172" s="95"/>
      <c r="J172" s="95"/>
      <c r="K172" s="95"/>
      <c r="L172" s="95" t="n">
        <v>0</v>
      </c>
      <c r="M172" s="95" t="n">
        <f aca="false">IFERROR(ROUND(COUNTA(E172:L172)/8,2),0)</f>
        <v>0.5</v>
      </c>
      <c r="N172" s="95" t="str">
        <f aca="false">COUNTA(E172:L172)&amp;"/8 fields"</f>
        <v>4/8 fields</v>
      </c>
      <c r="O172" s="1" t="s">
        <v>109</v>
      </c>
    </row>
    <row r="173" customFormat="false" ht="15" hidden="false" customHeight="true" outlineLevel="0" collapsed="false">
      <c r="A173" s="95" t="s">
        <v>216</v>
      </c>
      <c r="B173" s="95" t="s">
        <v>50</v>
      </c>
      <c r="C173" s="95" t="s">
        <v>217</v>
      </c>
      <c r="D173" s="95" t="s">
        <v>31</v>
      </c>
      <c r="E173" s="95"/>
      <c r="F173" s="96" t="n">
        <v>43167</v>
      </c>
      <c r="G173" s="96" t="n">
        <v>0.622</v>
      </c>
      <c r="H173" s="95" t="n">
        <v>0.311</v>
      </c>
      <c r="I173" s="95" t="n">
        <v>0.4998</v>
      </c>
      <c r="J173" s="95"/>
      <c r="K173" s="95" t="n">
        <v>0.002</v>
      </c>
      <c r="L173" s="95" t="n">
        <v>0</v>
      </c>
      <c r="M173" s="95" t="n">
        <f aca="false">IFERROR(ROUND(COUNTA(E173:L173)/8,2),0)</f>
        <v>0.75</v>
      </c>
      <c r="N173" s="95" t="str">
        <f aca="false">COUNTA(E173:L173)&amp;"/8 fields"</f>
        <v>6/8 fields</v>
      </c>
      <c r="O173" s="97" t="s">
        <v>110</v>
      </c>
    </row>
    <row r="174" customFormat="false" ht="15" hidden="false" customHeight="true" outlineLevel="0" collapsed="false">
      <c r="A174" s="95" t="s">
        <v>218</v>
      </c>
      <c r="B174" s="95" t="s">
        <v>121</v>
      </c>
      <c r="C174" s="95" t="s">
        <v>219</v>
      </c>
      <c r="D174" s="95" t="s">
        <v>29</v>
      </c>
      <c r="E174" s="95" t="n">
        <v>296</v>
      </c>
      <c r="F174" s="95" t="n">
        <v>6238</v>
      </c>
      <c r="G174" s="95" t="n">
        <v>0.031</v>
      </c>
      <c r="H174" s="95"/>
      <c r="I174" s="95"/>
      <c r="J174" s="95"/>
      <c r="K174" s="95"/>
      <c r="L174" s="95" t="n">
        <v>0</v>
      </c>
      <c r="M174" s="95" t="n">
        <f aca="false">IFERROR(ROUND(COUNTA(E174:L174)/8,2),0)</f>
        <v>0.5</v>
      </c>
      <c r="N174" s="95" t="str">
        <f aca="false">COUNTA(E174:L174)&amp;"/8 fields"</f>
        <v>4/8 fields</v>
      </c>
      <c r="O174" s="1" t="s">
        <v>109</v>
      </c>
    </row>
    <row r="175" customFormat="false" ht="15" hidden="false" customHeight="true" outlineLevel="0" collapsed="false">
      <c r="A175" s="95" t="s">
        <v>218</v>
      </c>
      <c r="B175" s="95" t="s">
        <v>121</v>
      </c>
      <c r="C175" s="95" t="s">
        <v>219</v>
      </c>
      <c r="D175" s="95" t="s">
        <v>31</v>
      </c>
      <c r="E175" s="95"/>
      <c r="F175" s="96" t="n">
        <v>6238</v>
      </c>
      <c r="G175" s="96" t="n">
        <v>0.031</v>
      </c>
      <c r="H175" s="95"/>
      <c r="I175" s="95"/>
      <c r="J175" s="95"/>
      <c r="K175" s="95"/>
      <c r="L175" s="95" t="n">
        <v>0</v>
      </c>
      <c r="M175" s="95" t="n">
        <f aca="false">IFERROR(ROUND(COUNTA(E175:L175)/8,2),0)</f>
        <v>0.38</v>
      </c>
      <c r="N175" s="95" t="str">
        <f aca="false">COUNTA(E175:L175)&amp;"/8 fields"</f>
        <v>3/8 fields</v>
      </c>
      <c r="O175" s="97" t="s">
        <v>110</v>
      </c>
    </row>
    <row r="176" customFormat="false" ht="15" hidden="false" customHeight="true" outlineLevel="0" collapsed="false">
      <c r="A176" s="95" t="s">
        <v>220</v>
      </c>
      <c r="B176" s="95" t="s">
        <v>27</v>
      </c>
      <c r="C176" s="95" t="s">
        <v>221</v>
      </c>
      <c r="D176" s="95" t="s">
        <v>29</v>
      </c>
      <c r="E176" s="95" t="n">
        <v>119517</v>
      </c>
      <c r="F176" s="95" t="n">
        <v>357071</v>
      </c>
      <c r="G176" s="95" t="n">
        <v>1.422</v>
      </c>
      <c r="H176" s="95"/>
      <c r="I176" s="95"/>
      <c r="J176" s="95"/>
      <c r="K176" s="95"/>
      <c r="L176" s="95" t="n">
        <v>0</v>
      </c>
      <c r="M176" s="95" t="n">
        <f aca="false">IFERROR(ROUND(COUNTA(E176:L176)/8,2),0)</f>
        <v>0.5</v>
      </c>
      <c r="N176" s="95" t="str">
        <f aca="false">COUNTA(E176:L176)&amp;"/8 fields"</f>
        <v>4/8 fields</v>
      </c>
      <c r="O176" s="1" t="s">
        <v>109</v>
      </c>
    </row>
    <row r="177" customFormat="false" ht="15" hidden="false" customHeight="true" outlineLevel="0" collapsed="false">
      <c r="A177" s="95" t="s">
        <v>220</v>
      </c>
      <c r="B177" s="95" t="s">
        <v>27</v>
      </c>
      <c r="C177" s="95" t="s">
        <v>221</v>
      </c>
      <c r="D177" s="95" t="s">
        <v>31</v>
      </c>
      <c r="E177" s="95" t="n">
        <v>73497</v>
      </c>
      <c r="F177" s="95" t="n">
        <v>344369</v>
      </c>
      <c r="G177" s="96" t="n">
        <v>1.422</v>
      </c>
      <c r="H177" s="95"/>
      <c r="I177" s="95"/>
      <c r="J177" s="95"/>
      <c r="K177" s="95"/>
      <c r="L177" s="95" t="n">
        <v>0</v>
      </c>
      <c r="M177" s="95" t="n">
        <f aca="false">IFERROR(ROUND(COUNTA(E177:L177)/8,2),0)</f>
        <v>0.5</v>
      </c>
      <c r="N177" s="95" t="str">
        <f aca="false">COUNTA(E177:L177)&amp;"/8 fields"</f>
        <v>4/8 fields</v>
      </c>
      <c r="O177" s="97" t="s">
        <v>110</v>
      </c>
    </row>
    <row r="178" customFormat="false" ht="15" hidden="false" customHeight="true" outlineLevel="0" collapsed="false">
      <c r="A178" s="95" t="s">
        <v>222</v>
      </c>
      <c r="B178" s="95" t="s">
        <v>83</v>
      </c>
      <c r="C178" s="95" t="s">
        <v>223</v>
      </c>
      <c r="D178" s="95" t="s">
        <v>29</v>
      </c>
      <c r="E178" s="95" t="n">
        <v>47603938</v>
      </c>
      <c r="F178" s="95" t="n">
        <v>50624760</v>
      </c>
      <c r="G178" s="98" t="n">
        <v>490.525</v>
      </c>
      <c r="H178" s="95" t="n">
        <v>0</v>
      </c>
      <c r="I178" s="95" t="n">
        <v>0</v>
      </c>
      <c r="J178" s="95"/>
      <c r="K178" s="95"/>
      <c r="L178" s="95" t="n">
        <v>0</v>
      </c>
      <c r="M178" s="95" t="n">
        <f aca="false">IFERROR(ROUND(COUNTA(E178:L178)/8,2),0)</f>
        <v>0.75</v>
      </c>
      <c r="N178" s="95" t="str">
        <f aca="false">COUNTA(E178:L178)&amp;"/8 fields"</f>
        <v>6/8 fields</v>
      </c>
      <c r="O178" s="99" t="s">
        <v>104</v>
      </c>
    </row>
    <row r="179" customFormat="false" ht="15" hidden="false" customHeight="true" outlineLevel="0" collapsed="false">
      <c r="A179" s="95" t="s">
        <v>222</v>
      </c>
      <c r="B179" s="95" t="s">
        <v>83</v>
      </c>
      <c r="C179" s="95" t="s">
        <v>223</v>
      </c>
      <c r="D179" s="95" t="s">
        <v>31</v>
      </c>
      <c r="E179" s="95" t="n">
        <v>47603938</v>
      </c>
      <c r="F179" s="95" t="n">
        <v>50050568</v>
      </c>
      <c r="G179" s="98" t="n">
        <v>484.961</v>
      </c>
      <c r="H179" s="95"/>
      <c r="I179" s="95"/>
      <c r="J179" s="95"/>
      <c r="K179" s="95" t="n">
        <v>0.0009</v>
      </c>
      <c r="L179" s="95" t="n">
        <v>0</v>
      </c>
      <c r="M179" s="95" t="n">
        <f aca="false">IFERROR(ROUND(COUNTA(E179:L179)/8,2),0)</f>
        <v>0.63</v>
      </c>
      <c r="N179" s="95" t="str">
        <f aca="false">COUNTA(E179:L179)&amp;"/8 fields"</f>
        <v>5/8 fields</v>
      </c>
      <c r="O179" s="99" t="s">
        <v>104</v>
      </c>
    </row>
    <row r="180" customFormat="false" ht="15" hidden="false" customHeight="true" outlineLevel="0" collapsed="false">
      <c r="A180" s="95" t="s">
        <v>224</v>
      </c>
      <c r="B180" s="95" t="s">
        <v>170</v>
      </c>
      <c r="C180" s="95" t="s">
        <v>225</v>
      </c>
      <c r="D180" s="95" t="s">
        <v>29</v>
      </c>
      <c r="E180" s="95" t="n">
        <v>87</v>
      </c>
      <c r="F180" s="95" t="n">
        <v>4989</v>
      </c>
      <c r="G180" s="95" t="n">
        <v>0.024</v>
      </c>
      <c r="H180" s="95"/>
      <c r="I180" s="95"/>
      <c r="J180" s="95"/>
      <c r="K180" s="95" t="n">
        <v>0.1904</v>
      </c>
      <c r="L180" s="95" t="n">
        <v>0</v>
      </c>
      <c r="M180" s="95" t="n">
        <f aca="false">IFERROR(ROUND(COUNTA(E180:L180)/8,2),0)</f>
        <v>0.63</v>
      </c>
      <c r="N180" s="95" t="str">
        <f aca="false">COUNTA(E180:L180)&amp;"/8 fields"</f>
        <v>5/8 fields</v>
      </c>
      <c r="O180" s="1" t="s">
        <v>109</v>
      </c>
    </row>
    <row r="181" customFormat="false" ht="15" hidden="false" customHeight="true" outlineLevel="0" collapsed="false">
      <c r="A181" s="95" t="s">
        <v>224</v>
      </c>
      <c r="B181" s="95" t="s">
        <v>170</v>
      </c>
      <c r="C181" s="95" t="s">
        <v>225</v>
      </c>
      <c r="D181" s="95" t="s">
        <v>31</v>
      </c>
      <c r="E181" s="95" t="n">
        <v>2735</v>
      </c>
      <c r="F181" s="95" t="n">
        <v>17995</v>
      </c>
      <c r="G181" s="96" t="n">
        <v>0.024</v>
      </c>
      <c r="H181" s="95"/>
      <c r="I181" s="95"/>
      <c r="J181" s="95"/>
      <c r="K181" s="95" t="n">
        <v>0.0042</v>
      </c>
      <c r="L181" s="95" t="n">
        <v>0</v>
      </c>
      <c r="M181" s="95" t="n">
        <f aca="false">IFERROR(ROUND(COUNTA(E181:L181)/8,2),0)</f>
        <v>0.63</v>
      </c>
      <c r="N181" s="95" t="str">
        <f aca="false">COUNTA(E181:L181)&amp;"/8 fields"</f>
        <v>5/8 fields</v>
      </c>
      <c r="O181" s="97" t="s">
        <v>110</v>
      </c>
    </row>
    <row r="182" customFormat="false" ht="15" hidden="false" customHeight="true" outlineLevel="0" collapsed="false">
      <c r="A182" s="95" t="s">
        <v>226</v>
      </c>
      <c r="B182" s="95" t="s">
        <v>121</v>
      </c>
      <c r="C182" s="95" t="s">
        <v>227</v>
      </c>
      <c r="D182" s="95" t="s">
        <v>29</v>
      </c>
      <c r="E182" s="95" t="n">
        <v>37130</v>
      </c>
      <c r="F182" s="95" t="n">
        <v>56504</v>
      </c>
      <c r="G182" s="95" t="n">
        <v>0.271</v>
      </c>
      <c r="H182" s="95"/>
      <c r="I182" s="95"/>
      <c r="J182" s="95"/>
      <c r="K182" s="95"/>
      <c r="L182" s="95" t="n">
        <v>0</v>
      </c>
      <c r="M182" s="95" t="n">
        <f aca="false">IFERROR(ROUND(COUNTA(E182:L182)/8,2),0)</f>
        <v>0.5</v>
      </c>
      <c r="N182" s="95" t="str">
        <f aca="false">COUNTA(E182:L182)&amp;"/8 fields"</f>
        <v>4/8 fields</v>
      </c>
      <c r="O182" s="1" t="s">
        <v>109</v>
      </c>
    </row>
    <row r="183" customFormat="false" ht="15" hidden="false" customHeight="true" outlineLevel="0" collapsed="false">
      <c r="A183" s="95" t="s">
        <v>226</v>
      </c>
      <c r="B183" s="95" t="s">
        <v>121</v>
      </c>
      <c r="C183" s="95" t="s">
        <v>227</v>
      </c>
      <c r="D183" s="95" t="s">
        <v>31</v>
      </c>
      <c r="E183" s="95" t="n">
        <v>3963</v>
      </c>
      <c r="F183" s="95" t="n">
        <v>24183</v>
      </c>
      <c r="G183" s="96" t="n">
        <v>0.271</v>
      </c>
      <c r="H183" s="95"/>
      <c r="I183" s="95"/>
      <c r="J183" s="95"/>
      <c r="K183" s="95" t="n">
        <v>0.0007</v>
      </c>
      <c r="L183" s="95" t="n">
        <v>0</v>
      </c>
      <c r="M183" s="95" t="n">
        <f aca="false">IFERROR(ROUND(COUNTA(E183:L183)/8,2),0)</f>
        <v>0.63</v>
      </c>
      <c r="N183" s="95" t="str">
        <f aca="false">COUNTA(E183:L183)&amp;"/8 fields"</f>
        <v>5/8 fields</v>
      </c>
      <c r="O183" s="97" t="s">
        <v>110</v>
      </c>
    </row>
    <row r="184" customFormat="false" ht="15" hidden="false" customHeight="true" outlineLevel="0" collapsed="false">
      <c r="A184" s="95" t="s">
        <v>228</v>
      </c>
      <c r="B184" s="95" t="s">
        <v>102</v>
      </c>
      <c r="C184" s="95" t="s">
        <v>229</v>
      </c>
      <c r="D184" s="95" t="s">
        <v>29</v>
      </c>
      <c r="E184" s="95" t="n">
        <v>8203</v>
      </c>
      <c r="F184" s="95" t="n">
        <v>26979</v>
      </c>
      <c r="G184" s="95" t="n">
        <v>0.067</v>
      </c>
      <c r="H184" s="95"/>
      <c r="I184" s="95"/>
      <c r="J184" s="95"/>
      <c r="K184" s="95"/>
      <c r="L184" s="95" t="n">
        <v>0</v>
      </c>
      <c r="M184" s="95" t="n">
        <f aca="false">IFERROR(ROUND(COUNTA(E184:L184)/8,2),0)</f>
        <v>0.5</v>
      </c>
      <c r="N184" s="95" t="str">
        <f aca="false">COUNTA(E184:L184)&amp;"/8 fields"</f>
        <v>4/8 fields</v>
      </c>
      <c r="O184" s="1" t="s">
        <v>109</v>
      </c>
    </row>
    <row r="185" customFormat="false" ht="15" hidden="false" customHeight="true" outlineLevel="0" collapsed="false">
      <c r="A185" s="95" t="s">
        <v>228</v>
      </c>
      <c r="B185" s="95" t="s">
        <v>102</v>
      </c>
      <c r="C185" s="95" t="s">
        <v>229</v>
      </c>
      <c r="D185" s="95" t="s">
        <v>31</v>
      </c>
      <c r="E185" s="95" t="n">
        <v>7448</v>
      </c>
      <c r="F185" s="95" t="n">
        <v>40350</v>
      </c>
      <c r="G185" s="95" t="n">
        <v>0.056</v>
      </c>
      <c r="H185" s="95"/>
      <c r="I185" s="95"/>
      <c r="J185" s="95"/>
      <c r="K185" s="95"/>
      <c r="L185" s="95" t="n">
        <v>0</v>
      </c>
      <c r="M185" s="95" t="n">
        <f aca="false">IFERROR(ROUND(COUNTA(E185:L185)/8,2),0)</f>
        <v>0.5</v>
      </c>
      <c r="N185" s="95" t="str">
        <f aca="false">COUNTA(E185:L185)&amp;"/8 fields"</f>
        <v>4/8 fields</v>
      </c>
      <c r="O185" s="1" t="s">
        <v>109</v>
      </c>
    </row>
    <row r="186" customFormat="false" ht="15" hidden="false" customHeight="true" outlineLevel="0" collapsed="false">
      <c r="A186" s="95" t="s">
        <v>230</v>
      </c>
      <c r="B186" s="95" t="s">
        <v>116</v>
      </c>
      <c r="C186" s="95" t="s">
        <v>231</v>
      </c>
      <c r="D186" s="95" t="s">
        <v>29</v>
      </c>
      <c r="E186" s="95" t="n">
        <v>41174</v>
      </c>
      <c r="F186" s="95" t="n">
        <v>302977</v>
      </c>
      <c r="G186" s="95" t="n">
        <v>3.207</v>
      </c>
      <c r="H186" s="95" t="n">
        <v>1.271</v>
      </c>
      <c r="I186" s="95" t="n">
        <v>0.3962</v>
      </c>
      <c r="J186" s="95"/>
      <c r="K186" s="95"/>
      <c r="L186" s="95" t="n">
        <v>0</v>
      </c>
      <c r="M186" s="95" t="n">
        <f aca="false">IFERROR(ROUND(COUNTA(E186:L186)/8,2),0)</f>
        <v>0.75</v>
      </c>
      <c r="N186" s="95" t="str">
        <f aca="false">COUNTA(E186:L186)&amp;"/8 fields"</f>
        <v>6/8 fields</v>
      </c>
      <c r="O186" s="1" t="s">
        <v>109</v>
      </c>
    </row>
    <row r="187" customFormat="false" ht="15" hidden="false" customHeight="true" outlineLevel="0" collapsed="false">
      <c r="A187" s="95" t="s">
        <v>230</v>
      </c>
      <c r="B187" s="95" t="s">
        <v>116</v>
      </c>
      <c r="C187" s="95" t="s">
        <v>231</v>
      </c>
      <c r="D187" s="95" t="s">
        <v>31</v>
      </c>
      <c r="E187" s="95" t="n">
        <v>111175</v>
      </c>
      <c r="F187" s="95" t="n">
        <v>348941</v>
      </c>
      <c r="G187" s="96" t="n">
        <v>3.207</v>
      </c>
      <c r="H187" s="95" t="n">
        <v>1.339</v>
      </c>
      <c r="I187" s="95" t="n">
        <v>0.4176</v>
      </c>
      <c r="J187" s="95"/>
      <c r="K187" s="95"/>
      <c r="L187" s="95" t="n">
        <v>0</v>
      </c>
      <c r="M187" s="95" t="n">
        <f aca="false">IFERROR(ROUND(COUNTA(E187:L187)/8,2),0)</f>
        <v>0.75</v>
      </c>
      <c r="N187" s="95" t="str">
        <f aca="false">COUNTA(E187:L187)&amp;"/8 fields"</f>
        <v>6/8 fields</v>
      </c>
      <c r="O187" s="97" t="s">
        <v>110</v>
      </c>
    </row>
    <row r="188" customFormat="false" ht="15" hidden="false" customHeight="true" outlineLevel="0" collapsed="false">
      <c r="A188" s="95" t="s">
        <v>232</v>
      </c>
      <c r="B188" s="95" t="s">
        <v>56</v>
      </c>
      <c r="C188" s="95" t="s">
        <v>233</v>
      </c>
      <c r="D188" s="95" t="s">
        <v>29</v>
      </c>
      <c r="E188" s="95"/>
      <c r="F188" s="96" t="n">
        <v>22709</v>
      </c>
      <c r="G188" s="98" t="n">
        <v>0.243</v>
      </c>
      <c r="H188" s="95" t="n">
        <v>0</v>
      </c>
      <c r="I188" s="95" t="n">
        <v>0.0012</v>
      </c>
      <c r="J188" s="95"/>
      <c r="K188" s="95"/>
      <c r="L188" s="95" t="n">
        <v>0</v>
      </c>
      <c r="M188" s="95" t="n">
        <f aca="false">IFERROR(ROUND(COUNTA(E188:L188)/8,2),0)</f>
        <v>0.63</v>
      </c>
      <c r="N188" s="95" t="str">
        <f aca="false">COUNTA(E188:L188)&amp;"/8 fields"</f>
        <v>5/8 fields</v>
      </c>
      <c r="O188" s="99" t="s">
        <v>104</v>
      </c>
    </row>
    <row r="189" customFormat="false" ht="15" hidden="false" customHeight="true" outlineLevel="0" collapsed="false">
      <c r="A189" s="95" t="s">
        <v>232</v>
      </c>
      <c r="B189" s="95" t="s">
        <v>56</v>
      </c>
      <c r="C189" s="95" t="s">
        <v>233</v>
      </c>
      <c r="D189" s="95" t="s">
        <v>31</v>
      </c>
      <c r="E189" s="95" t="n">
        <v>22693</v>
      </c>
      <c r="F189" s="95" t="n">
        <v>22709</v>
      </c>
      <c r="G189" s="98" t="n">
        <v>0.243</v>
      </c>
      <c r="H189" s="95" t="n">
        <v>0.307</v>
      </c>
      <c r="I189" s="95" t="n">
        <v>1.2626</v>
      </c>
      <c r="J189" s="95"/>
      <c r="K189" s="95"/>
      <c r="L189" s="95" t="n">
        <v>0</v>
      </c>
      <c r="M189" s="95" t="n">
        <f aca="false">IFERROR(ROUND(COUNTA(E189:L189)/8,2),0)</f>
        <v>0.75</v>
      </c>
      <c r="N189" s="95" t="str">
        <f aca="false">COUNTA(E189:L189)&amp;"/8 fields"</f>
        <v>6/8 fields</v>
      </c>
      <c r="O189" s="99" t="s">
        <v>104</v>
      </c>
    </row>
    <row r="190" customFormat="false" ht="15" hidden="false" customHeight="true" outlineLevel="0" collapsed="false">
      <c r="A190" s="95" t="s">
        <v>234</v>
      </c>
      <c r="B190" s="95" t="s">
        <v>43</v>
      </c>
      <c r="C190" s="95" t="s">
        <v>235</v>
      </c>
      <c r="D190" s="95" t="s">
        <v>29</v>
      </c>
      <c r="E190" s="95" t="n">
        <v>6158</v>
      </c>
      <c r="F190" s="95" t="n">
        <v>21508</v>
      </c>
      <c r="G190" s="98" t="n">
        <v>0.279</v>
      </c>
      <c r="H190" s="95"/>
      <c r="I190" s="95"/>
      <c r="J190" s="95"/>
      <c r="K190" s="95"/>
      <c r="L190" s="95" t="n">
        <v>0</v>
      </c>
      <c r="M190" s="95" t="n">
        <f aca="false">IFERROR(ROUND(COUNTA(E190:L190)/8,2),0)</f>
        <v>0.5</v>
      </c>
      <c r="N190" s="95" t="str">
        <f aca="false">COUNTA(E190:L190)&amp;"/8 fields"</f>
        <v>4/8 fields</v>
      </c>
      <c r="O190" s="99" t="s">
        <v>104</v>
      </c>
    </row>
    <row r="191" customFormat="false" ht="15" hidden="false" customHeight="true" outlineLevel="0" collapsed="false">
      <c r="A191" s="95" t="s">
        <v>234</v>
      </c>
      <c r="B191" s="95" t="s">
        <v>43</v>
      </c>
      <c r="C191" s="95" t="s">
        <v>235</v>
      </c>
      <c r="D191" s="95" t="s">
        <v>31</v>
      </c>
      <c r="E191" s="95" t="n">
        <v>61501</v>
      </c>
      <c r="F191" s="95" t="n">
        <v>98783</v>
      </c>
      <c r="G191" s="98" t="n">
        <v>1.283</v>
      </c>
      <c r="H191" s="95"/>
      <c r="I191" s="95"/>
      <c r="J191" s="95"/>
      <c r="K191" s="95" t="n">
        <v>0.0007</v>
      </c>
      <c r="L191" s="95" t="n">
        <v>0</v>
      </c>
      <c r="M191" s="95" t="n">
        <f aca="false">IFERROR(ROUND(COUNTA(E191:L191)/8,2),0)</f>
        <v>0.63</v>
      </c>
      <c r="N191" s="95" t="str">
        <f aca="false">COUNTA(E191:L191)&amp;"/8 fields"</f>
        <v>5/8 fields</v>
      </c>
      <c r="O191" s="99" t="s">
        <v>104</v>
      </c>
    </row>
    <row r="192" customFormat="false" ht="15" hidden="false" customHeight="true" outlineLevel="0" collapsed="false">
      <c r="A192" s="95" t="s">
        <v>236</v>
      </c>
      <c r="B192" s="95" t="s">
        <v>27</v>
      </c>
      <c r="C192" s="95" t="s">
        <v>237</v>
      </c>
      <c r="D192" s="95" t="s">
        <v>29</v>
      </c>
      <c r="E192" s="95" t="n">
        <v>28</v>
      </c>
      <c r="F192" s="98" t="n">
        <v>954308</v>
      </c>
      <c r="G192" s="95" t="n">
        <v>408.948</v>
      </c>
      <c r="H192" s="95"/>
      <c r="I192" s="95"/>
      <c r="J192" s="95"/>
      <c r="K192" s="95"/>
      <c r="L192" s="95" t="n">
        <v>0</v>
      </c>
      <c r="M192" s="95" t="n">
        <f aca="false">IFERROR(ROUND(COUNTA(E192:L192)/8,2),0)</f>
        <v>0.5</v>
      </c>
      <c r="N192" s="95" t="str">
        <f aca="false">COUNTA(E192:L192)&amp;"/8 fields"</f>
        <v>4/8 fields</v>
      </c>
      <c r="O192" s="99" t="s">
        <v>104</v>
      </c>
    </row>
    <row r="193" customFormat="false" ht="15" hidden="false" customHeight="true" outlineLevel="0" collapsed="false">
      <c r="A193" s="95" t="s">
        <v>236</v>
      </c>
      <c r="B193" s="95" t="s">
        <v>27</v>
      </c>
      <c r="C193" s="95" t="s">
        <v>237</v>
      </c>
      <c r="D193" s="95" t="s">
        <v>31</v>
      </c>
      <c r="E193" s="95"/>
      <c r="F193" s="98" t="n">
        <v>954308</v>
      </c>
      <c r="G193" s="96" t="n">
        <v>408.948</v>
      </c>
      <c r="H193" s="95" t="n">
        <v>0.164</v>
      </c>
      <c r="I193" s="95" t="n">
        <v>0.0004</v>
      </c>
      <c r="J193" s="95"/>
      <c r="K193" s="95" t="n">
        <v>0.0008</v>
      </c>
      <c r="L193" s="95" t="n">
        <v>0</v>
      </c>
      <c r="M193" s="95" t="n">
        <f aca="false">IFERROR(ROUND(COUNTA(E193:L193)/8,2),0)</f>
        <v>0.75</v>
      </c>
      <c r="N193" s="95" t="str">
        <f aca="false">COUNTA(E193:L193)&amp;"/8 fields"</f>
        <v>6/8 fields</v>
      </c>
      <c r="O193" s="99" t="s">
        <v>104</v>
      </c>
    </row>
    <row r="194" customFormat="false" ht="15" hidden="false" customHeight="true" outlineLevel="0" collapsed="false">
      <c r="A194" s="95" t="s">
        <v>238</v>
      </c>
      <c r="B194" s="95" t="s">
        <v>83</v>
      </c>
      <c r="C194" s="95" t="s">
        <v>239</v>
      </c>
      <c r="D194" s="95" t="s">
        <v>29</v>
      </c>
      <c r="E194" s="95" t="n">
        <v>76</v>
      </c>
      <c r="F194" s="100" t="n">
        <v>75500000</v>
      </c>
      <c r="G194" s="98" t="n">
        <v>731.551</v>
      </c>
      <c r="H194" s="95"/>
      <c r="I194" s="95"/>
      <c r="J194" s="95"/>
      <c r="K194" s="95"/>
      <c r="L194" s="95" t="n">
        <v>0</v>
      </c>
      <c r="M194" s="95" t="n">
        <f aca="false">IFERROR(ROUND(COUNTA(E194:L194)/8,2),0)</f>
        <v>0.5</v>
      </c>
      <c r="N194" s="95" t="str">
        <f aca="false">COUNTA(E194:L194)&amp;"/8 fields"</f>
        <v>4/8 fields</v>
      </c>
      <c r="O194" s="99" t="s">
        <v>104</v>
      </c>
    </row>
    <row r="195" customFormat="false" ht="15" hidden="false" customHeight="true" outlineLevel="0" collapsed="false">
      <c r="A195" s="95" t="s">
        <v>238</v>
      </c>
      <c r="B195" s="95" t="s">
        <v>83</v>
      </c>
      <c r="C195" s="95" t="s">
        <v>239</v>
      </c>
      <c r="D195" s="95" t="s">
        <v>31</v>
      </c>
      <c r="E195" s="95" t="n">
        <v>56</v>
      </c>
      <c r="F195" s="100" t="n">
        <v>56000000</v>
      </c>
      <c r="G195" s="98" t="n">
        <v>542.607</v>
      </c>
      <c r="H195" s="95"/>
      <c r="I195" s="95"/>
      <c r="J195" s="95"/>
      <c r="K195" s="95"/>
      <c r="L195" s="95" t="n">
        <v>0</v>
      </c>
      <c r="M195" s="95" t="n">
        <f aca="false">IFERROR(ROUND(COUNTA(E195:L195)/8,2),0)</f>
        <v>0.5</v>
      </c>
      <c r="N195" s="95" t="str">
        <f aca="false">COUNTA(E195:L195)&amp;"/8 fields"</f>
        <v>4/8 fields</v>
      </c>
      <c r="O195" s="99" t="s">
        <v>104</v>
      </c>
    </row>
    <row r="196" customFormat="false" ht="15" hidden="false" customHeight="true" outlineLevel="0" collapsed="false">
      <c r="A196" s="95" t="s">
        <v>240</v>
      </c>
      <c r="B196" s="95" t="s">
        <v>33</v>
      </c>
      <c r="C196" s="95" t="s">
        <v>241</v>
      </c>
      <c r="D196" s="95" t="s">
        <v>29</v>
      </c>
      <c r="E196" s="95" t="n">
        <v>8611</v>
      </c>
      <c r="F196" s="95" t="n">
        <v>68661</v>
      </c>
      <c r="G196" s="95" t="n">
        <v>0.114</v>
      </c>
      <c r="H196" s="95" t="n">
        <v>0.025</v>
      </c>
      <c r="I196" s="95" t="n">
        <v>0.2189</v>
      </c>
      <c r="J196" s="95"/>
      <c r="K196" s="95"/>
      <c r="L196" s="95" t="n">
        <v>0</v>
      </c>
      <c r="M196" s="95" t="n">
        <f aca="false">IFERROR(ROUND(COUNTA(E196:L196)/8,2),0)</f>
        <v>0.75</v>
      </c>
      <c r="N196" s="95" t="str">
        <f aca="false">COUNTA(E196:L196)&amp;"/8 fields"</f>
        <v>6/8 fields</v>
      </c>
      <c r="O196" s="1" t="s">
        <v>109</v>
      </c>
    </row>
    <row r="197" customFormat="false" ht="15" hidden="false" customHeight="true" outlineLevel="0" collapsed="false">
      <c r="A197" s="95" t="s">
        <v>240</v>
      </c>
      <c r="B197" s="95" t="s">
        <v>33</v>
      </c>
      <c r="C197" s="95" t="s">
        <v>241</v>
      </c>
      <c r="D197" s="95" t="s">
        <v>31</v>
      </c>
      <c r="E197" s="95" t="n">
        <v>10574</v>
      </c>
      <c r="F197" s="95" t="n">
        <v>78662</v>
      </c>
      <c r="G197" s="96" t="n">
        <v>0.114</v>
      </c>
      <c r="H197" s="95" t="n">
        <v>0.108</v>
      </c>
      <c r="I197" s="95" t="n">
        <v>0.9448</v>
      </c>
      <c r="J197" s="95"/>
      <c r="K197" s="95"/>
      <c r="L197" s="95" t="n">
        <v>0</v>
      </c>
      <c r="M197" s="95" t="n">
        <f aca="false">IFERROR(ROUND(COUNTA(E197:L197)/8,2),0)</f>
        <v>0.75</v>
      </c>
      <c r="N197" s="95" t="str">
        <f aca="false">COUNTA(E197:L197)&amp;"/8 fields"</f>
        <v>6/8 fields</v>
      </c>
      <c r="O197" s="97" t="s">
        <v>110</v>
      </c>
    </row>
    <row r="198" customFormat="false" ht="15" hidden="false" customHeight="true" outlineLevel="0" collapsed="false">
      <c r="A198" s="95" t="s">
        <v>242</v>
      </c>
      <c r="B198" s="95" t="s">
        <v>50</v>
      </c>
      <c r="C198" s="95" t="s">
        <v>243</v>
      </c>
      <c r="D198" s="95" t="s">
        <v>29</v>
      </c>
      <c r="E198" s="95" t="n">
        <v>3687</v>
      </c>
      <c r="F198" s="95" t="n">
        <v>22479</v>
      </c>
      <c r="G198" s="98" t="n">
        <v>0.197</v>
      </c>
      <c r="H198" s="95" t="n">
        <v>0</v>
      </c>
      <c r="I198" s="95" t="n">
        <v>0.001</v>
      </c>
      <c r="J198" s="95"/>
      <c r="K198" s="95"/>
      <c r="L198" s="95" t="n">
        <v>0</v>
      </c>
      <c r="M198" s="95" t="n">
        <f aca="false">IFERROR(ROUND(COUNTA(E198:L198)/8,2),0)</f>
        <v>0.75</v>
      </c>
      <c r="N198" s="95" t="str">
        <f aca="false">COUNTA(E198:L198)&amp;"/8 fields"</f>
        <v>6/8 fields</v>
      </c>
      <c r="O198" s="99" t="s">
        <v>104</v>
      </c>
    </row>
    <row r="199" customFormat="false" ht="15" hidden="false" customHeight="true" outlineLevel="0" collapsed="false">
      <c r="A199" s="95" t="s">
        <v>242</v>
      </c>
      <c r="B199" s="95" t="s">
        <v>50</v>
      </c>
      <c r="C199" s="95" t="s">
        <v>243</v>
      </c>
      <c r="D199" s="95" t="s">
        <v>31</v>
      </c>
      <c r="E199" s="95" t="n">
        <v>3821</v>
      </c>
      <c r="F199" s="95" t="n">
        <v>26615</v>
      </c>
      <c r="G199" s="98" t="n">
        <v>0.234</v>
      </c>
      <c r="H199" s="95"/>
      <c r="I199" s="95"/>
      <c r="J199" s="95"/>
      <c r="K199" s="95" t="n">
        <v>0.0028</v>
      </c>
      <c r="L199" s="95" t="n">
        <v>0</v>
      </c>
      <c r="M199" s="95" t="n">
        <f aca="false">IFERROR(ROUND(COUNTA(E199:L199)/8,2),0)</f>
        <v>0.63</v>
      </c>
      <c r="N199" s="95" t="str">
        <f aca="false">COUNTA(E199:L199)&amp;"/8 fields"</f>
        <v>5/8 fields</v>
      </c>
      <c r="O199" s="99" t="s">
        <v>104</v>
      </c>
    </row>
    <row r="200" customFormat="false" ht="15" hidden="false" customHeight="true" outlineLevel="0" collapsed="false">
      <c r="A200" s="95" t="s">
        <v>244</v>
      </c>
      <c r="B200" s="95" t="s">
        <v>116</v>
      </c>
      <c r="C200" s="95" t="s">
        <v>245</v>
      </c>
      <c r="D200" s="95" t="s">
        <v>29</v>
      </c>
      <c r="E200" s="95" t="n">
        <v>25063</v>
      </c>
      <c r="F200" s="95" t="n">
        <v>122174</v>
      </c>
      <c r="G200" s="98" t="n">
        <v>0.843</v>
      </c>
      <c r="H200" s="95" t="n">
        <v>0.02</v>
      </c>
      <c r="I200" s="95" t="n">
        <v>0.0242</v>
      </c>
      <c r="J200" s="95"/>
      <c r="K200" s="95"/>
      <c r="L200" s="95" t="n">
        <v>0</v>
      </c>
      <c r="M200" s="95" t="n">
        <f aca="false">IFERROR(ROUND(COUNTA(E200:L200)/8,2),0)</f>
        <v>0.75</v>
      </c>
      <c r="N200" s="95" t="str">
        <f aca="false">COUNTA(E200:L200)&amp;"/8 fields"</f>
        <v>6/8 fields</v>
      </c>
      <c r="O200" s="99" t="s">
        <v>104</v>
      </c>
    </row>
    <row r="201" customFormat="false" ht="15" hidden="false" customHeight="true" outlineLevel="0" collapsed="false">
      <c r="A201" s="95" t="s">
        <v>244</v>
      </c>
      <c r="B201" s="95" t="s">
        <v>116</v>
      </c>
      <c r="C201" s="95" t="s">
        <v>245</v>
      </c>
      <c r="D201" s="95" t="s">
        <v>31</v>
      </c>
      <c r="E201" s="95" t="n">
        <v>15294</v>
      </c>
      <c r="F201" s="95" t="n">
        <v>91562</v>
      </c>
      <c r="G201" s="98" t="n">
        <v>0.632</v>
      </c>
      <c r="H201" s="95" t="n">
        <v>0.255</v>
      </c>
      <c r="I201" s="95" t="n">
        <v>0.404</v>
      </c>
      <c r="J201" s="95"/>
      <c r="K201" s="95"/>
      <c r="L201" s="95" t="n">
        <v>0</v>
      </c>
      <c r="M201" s="95" t="n">
        <f aca="false">IFERROR(ROUND(COUNTA(E201:L201)/8,2),0)</f>
        <v>0.75</v>
      </c>
      <c r="N201" s="95" t="str">
        <f aca="false">COUNTA(E201:L201)&amp;"/8 fields"</f>
        <v>6/8 fields</v>
      </c>
      <c r="O201" s="99" t="s">
        <v>104</v>
      </c>
    </row>
    <row r="202" customFormat="false" ht="15" hidden="false" customHeight="true" outlineLevel="0" collapsed="false">
      <c r="A202" s="95" t="s">
        <v>246</v>
      </c>
      <c r="B202" s="95" t="s">
        <v>66</v>
      </c>
      <c r="C202" s="95" t="s">
        <v>247</v>
      </c>
      <c r="D202" s="95" t="s">
        <v>29</v>
      </c>
      <c r="E202" s="95" t="n">
        <v>9916</v>
      </c>
      <c r="F202" s="95" t="n">
        <v>446483</v>
      </c>
      <c r="G202" s="95" t="n">
        <v>2.067</v>
      </c>
      <c r="H202" s="95"/>
      <c r="I202" s="95"/>
      <c r="J202" s="95"/>
      <c r="K202" s="95"/>
      <c r="L202" s="95" t="n">
        <v>0</v>
      </c>
      <c r="M202" s="95" t="n">
        <f aca="false">IFERROR(ROUND(COUNTA(E202:L202)/8,2),0)</f>
        <v>0.5</v>
      </c>
      <c r="N202" s="95" t="str">
        <f aca="false">COUNTA(E202:L202)&amp;"/8 fields"</f>
        <v>4/8 fields</v>
      </c>
      <c r="O202" s="1" t="s">
        <v>109</v>
      </c>
    </row>
    <row r="203" customFormat="false" ht="15" hidden="false" customHeight="true" outlineLevel="0" collapsed="false">
      <c r="A203" s="95" t="s">
        <v>246</v>
      </c>
      <c r="B203" s="95" t="s">
        <v>66</v>
      </c>
      <c r="C203" s="95" t="s">
        <v>247</v>
      </c>
      <c r="D203" s="95" t="s">
        <v>31</v>
      </c>
      <c r="E203" s="95" t="n">
        <v>9342</v>
      </c>
      <c r="F203" s="95" t="n">
        <v>349551</v>
      </c>
      <c r="G203" s="96" t="n">
        <v>2.067</v>
      </c>
      <c r="H203" s="95" t="n">
        <v>0.15</v>
      </c>
      <c r="I203" s="95" t="n">
        <v>0.0725</v>
      </c>
      <c r="J203" s="95"/>
      <c r="K203" s="95" t="n">
        <v>0.01</v>
      </c>
      <c r="L203" s="95" t="n">
        <v>0</v>
      </c>
      <c r="M203" s="95" t="n">
        <f aca="false">IFERROR(ROUND(COUNTA(E203:L203)/8,2),0)</f>
        <v>0.88</v>
      </c>
      <c r="N203" s="95" t="str">
        <f aca="false">COUNTA(E203:L203)&amp;"/8 fields"</f>
        <v>7/8 fields</v>
      </c>
      <c r="O203" s="97" t="s">
        <v>110</v>
      </c>
    </row>
    <row r="204" customFormat="false" ht="15" hidden="false" customHeight="false" outlineLevel="0" collapsed="false">
      <c r="A204" s="95" t="s">
        <v>248</v>
      </c>
      <c r="B204" s="95" t="s">
        <v>56</v>
      </c>
      <c r="C204" s="95" t="s">
        <v>249</v>
      </c>
      <c r="D204" s="95" t="s">
        <v>29</v>
      </c>
      <c r="E204" s="95" t="n">
        <v>42200</v>
      </c>
      <c r="F204" s="100" t="n">
        <v>227594</v>
      </c>
      <c r="G204" s="95" t="n">
        <v>1.884</v>
      </c>
      <c r="H204" s="95" t="n">
        <v>0.291</v>
      </c>
      <c r="I204" s="95" t="n">
        <v>0.1545</v>
      </c>
      <c r="J204" s="95" t="n">
        <v>0.375</v>
      </c>
      <c r="K204" s="95" t="n">
        <v>0.082</v>
      </c>
      <c r="L204" s="95" t="n">
        <v>0</v>
      </c>
      <c r="M204" s="95" t="n">
        <f aca="false">IFERROR(ROUND(COUNTA(E204:L204)/8,2),0)</f>
        <v>1</v>
      </c>
      <c r="N204" s="95" t="str">
        <f aca="false">COUNTA(E204:L204)&amp;"/8 fields"</f>
        <v>8/8 fields</v>
      </c>
      <c r="O204" s="101" t="s">
        <v>250</v>
      </c>
    </row>
    <row r="205" customFormat="false" ht="15" hidden="false" customHeight="true" outlineLevel="0" collapsed="false">
      <c r="A205" s="95" t="s">
        <v>248</v>
      </c>
      <c r="B205" s="95" t="s">
        <v>56</v>
      </c>
      <c r="C205" s="95" t="s">
        <v>249</v>
      </c>
      <c r="D205" s="95" t="s">
        <v>31</v>
      </c>
      <c r="E205" s="95" t="n">
        <v>43325</v>
      </c>
      <c r="F205" s="100" t="n">
        <v>208074</v>
      </c>
      <c r="G205" s="95" t="n">
        <v>1.912</v>
      </c>
      <c r="H205" s="95" t="n">
        <v>0.411</v>
      </c>
      <c r="I205" s="95" t="n">
        <v>0.215</v>
      </c>
      <c r="J205" s="95" t="n">
        <v>0.375</v>
      </c>
      <c r="K205" s="95" t="n">
        <v>0.082</v>
      </c>
      <c r="L205" s="95" t="n">
        <v>0</v>
      </c>
      <c r="M205" s="95" t="n">
        <f aca="false">IFERROR(ROUND(COUNTA(E205:L205)/8,2),0)</f>
        <v>1</v>
      </c>
      <c r="N205" s="95" t="str">
        <f aca="false">COUNTA(E205:L205)&amp;"/8 fields"</f>
        <v>8/8 fields</v>
      </c>
      <c r="O205" s="101" t="s">
        <v>250</v>
      </c>
    </row>
    <row r="206" customFormat="false" ht="15" hidden="false" customHeight="true" outlineLevel="0" collapsed="false">
      <c r="A206" s="102" t="s">
        <v>109</v>
      </c>
      <c r="B206" s="103" t="s">
        <v>251</v>
      </c>
      <c r="C206" s="103" t="s">
        <v>252</v>
      </c>
    </row>
    <row r="207" customFormat="false" ht="15" hidden="false" customHeight="true" outlineLevel="0" collapsed="false">
      <c r="A207" s="104" t="s">
        <v>253</v>
      </c>
      <c r="B207" s="103" t="s">
        <v>254</v>
      </c>
      <c r="C207" s="103" t="s">
        <v>255</v>
      </c>
    </row>
    <row r="208" customFormat="false" ht="15" hidden="false" customHeight="true" outlineLevel="0" collapsed="false">
      <c r="A208" s="105" t="s">
        <v>256</v>
      </c>
      <c r="B208" s="103" t="s">
        <v>257</v>
      </c>
      <c r="C208" s="103" t="s">
        <v>258</v>
      </c>
    </row>
    <row r="209" customFormat="false" ht="15" hidden="false" customHeight="true" outlineLevel="0" collapsed="false">
      <c r="A209" s="106" t="s">
        <v>104</v>
      </c>
      <c r="B209" s="103" t="s">
        <v>259</v>
      </c>
      <c r="C209" s="103" t="s">
        <v>260</v>
      </c>
    </row>
  </sheetData>
  <mergeCells count="8">
    <mergeCell ref="A1:O1"/>
    <mergeCell ref="A2:O2"/>
    <mergeCell ref="A4:B4"/>
    <mergeCell ref="C4:D4"/>
    <mergeCell ref="E4:F4"/>
    <mergeCell ref="G4:H4"/>
    <mergeCell ref="J4:K4"/>
    <mergeCell ref="M4:N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70"/>
  </cols>
  <sheetData>
    <row r="1" customFormat="false" ht="27.75" hidden="false" customHeight="true" outlineLevel="0" collapsed="false">
      <c r="A1" s="107" t="s">
        <v>261</v>
      </c>
      <c r="B1" s="107"/>
    </row>
    <row r="2" customFormat="false" ht="30" hidden="false" customHeight="true" outlineLevel="0" collapsed="false">
      <c r="A2" s="108" t="s">
        <v>262</v>
      </c>
      <c r="B2" s="109" t="s">
        <v>263</v>
      </c>
    </row>
    <row r="3" customFormat="false" ht="30" hidden="false" customHeight="true" outlineLevel="0" collapsed="false">
      <c r="A3" s="108" t="s">
        <v>264</v>
      </c>
      <c r="B3" s="109" t="s">
        <v>265</v>
      </c>
    </row>
    <row r="4" customFormat="false" ht="30" hidden="false" customHeight="true" outlineLevel="0" collapsed="false">
      <c r="A4" s="108" t="s">
        <v>266</v>
      </c>
      <c r="B4" s="109" t="s">
        <v>267</v>
      </c>
    </row>
    <row r="5" customFormat="false" ht="30" hidden="false" customHeight="true" outlineLevel="0" collapsed="false">
      <c r="A5" s="108" t="s">
        <v>268</v>
      </c>
      <c r="B5" s="109" t="s">
        <v>269</v>
      </c>
    </row>
    <row r="6" customFormat="false" ht="30" hidden="false" customHeight="true" outlineLevel="0" collapsed="false">
      <c r="A6" s="108" t="s">
        <v>270</v>
      </c>
      <c r="B6" s="109" t="s">
        <v>271</v>
      </c>
    </row>
    <row r="7" customFormat="false" ht="30" hidden="false" customHeight="true" outlineLevel="0" collapsed="false">
      <c r="A7" s="108" t="s">
        <v>272</v>
      </c>
      <c r="B7" s="109" t="s">
        <v>273</v>
      </c>
    </row>
    <row r="8" customFormat="false" ht="30" hidden="false" customHeight="true" outlineLevel="0" collapsed="false">
      <c r="A8" s="108" t="s">
        <v>274</v>
      </c>
      <c r="B8" s="109" t="s">
        <v>275</v>
      </c>
    </row>
    <row r="9" customFormat="false" ht="30" hidden="false" customHeight="true" outlineLevel="0" collapsed="false">
      <c r="A9" s="108" t="s">
        <v>276</v>
      </c>
      <c r="B9" s="109" t="s">
        <v>277</v>
      </c>
    </row>
    <row r="10" customFormat="false" ht="30" hidden="false" customHeight="true" outlineLevel="0" collapsed="false">
      <c r="A10" s="108" t="s">
        <v>278</v>
      </c>
      <c r="B10" s="109" t="s">
        <v>279</v>
      </c>
    </row>
    <row r="11" customFormat="false" ht="30" hidden="false" customHeight="true" outlineLevel="0" collapsed="false">
      <c r="A11" s="108" t="s">
        <v>280</v>
      </c>
      <c r="B11" s="109" t="s">
        <v>281</v>
      </c>
    </row>
    <row r="12" customFormat="false" ht="30" hidden="false" customHeight="true" outlineLevel="0" collapsed="false">
      <c r="A12" s="108" t="s">
        <v>282</v>
      </c>
      <c r="B12" s="109" t="s">
        <v>283</v>
      </c>
    </row>
    <row r="13" customFormat="false" ht="30" hidden="false" customHeight="true" outlineLevel="0" collapsed="false">
      <c r="A13" s="108" t="s">
        <v>8</v>
      </c>
      <c r="B13" s="109" t="s">
        <v>284</v>
      </c>
    </row>
    <row r="14" customFormat="false" ht="30" hidden="false" customHeight="true" outlineLevel="0" collapsed="false">
      <c r="A14" s="108" t="s">
        <v>285</v>
      </c>
      <c r="B14" s="109" t="s">
        <v>286</v>
      </c>
    </row>
    <row r="15" customFormat="false" ht="30" hidden="false" customHeight="true" outlineLevel="0" collapsed="false">
      <c r="A15" s="108" t="s">
        <v>287</v>
      </c>
      <c r="B15" s="109" t="s">
        <v>288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20"/>
  </cols>
  <sheetData>
    <row r="1" customFormat="false" ht="25.5" hidden="false" customHeight="true" outlineLevel="0" collapsed="false">
      <c r="A1" s="2" t="s">
        <v>289</v>
      </c>
      <c r="B1" s="2"/>
      <c r="C1" s="2"/>
    </row>
    <row r="3" customFormat="false" ht="15" hidden="false" customHeight="true" outlineLevel="0" collapsed="false">
      <c r="A3" s="110" t="s">
        <v>290</v>
      </c>
      <c r="B3" s="110" t="s">
        <v>29</v>
      </c>
      <c r="C3" s="110" t="s">
        <v>31</v>
      </c>
    </row>
    <row r="4" customFormat="false" ht="18" hidden="false" customHeight="true" outlineLevel="0" collapsed="false">
      <c r="A4" s="111" t="s">
        <v>291</v>
      </c>
      <c r="B4" s="112" t="s">
        <v>292</v>
      </c>
      <c r="C4" s="112" t="s">
        <v>292</v>
      </c>
    </row>
    <row r="5" customFormat="false" ht="18" hidden="false" customHeight="true" outlineLevel="0" collapsed="false">
      <c r="A5" s="113" t="s">
        <v>26</v>
      </c>
      <c r="B5" s="114" t="s">
        <v>293</v>
      </c>
      <c r="C5" s="114" t="s">
        <v>293</v>
      </c>
    </row>
    <row r="6" customFormat="false" ht="18" hidden="false" customHeight="true" outlineLevel="0" collapsed="false">
      <c r="A6" s="111" t="s">
        <v>294</v>
      </c>
      <c r="B6" s="112" t="s">
        <v>295</v>
      </c>
      <c r="C6" s="112" t="s">
        <v>295</v>
      </c>
    </row>
    <row r="7" customFormat="false" ht="18" hidden="false" customHeight="true" outlineLevel="0" collapsed="false">
      <c r="A7" s="113" t="s">
        <v>296</v>
      </c>
      <c r="B7" s="115" t="s">
        <v>297</v>
      </c>
      <c r="C7" s="115" t="s">
        <v>297</v>
      </c>
    </row>
    <row r="8" customFormat="false" ht="18" hidden="false" customHeight="true" outlineLevel="0" collapsed="false">
      <c r="A8" s="111" t="s">
        <v>298</v>
      </c>
      <c r="B8" s="112" t="s">
        <v>299</v>
      </c>
      <c r="C8" s="112" t="s">
        <v>299</v>
      </c>
    </row>
    <row r="9" customFormat="false" ht="18" hidden="false" customHeight="true" outlineLevel="0" collapsed="false">
      <c r="A9" s="113" t="s">
        <v>300</v>
      </c>
      <c r="B9" s="115" t="s">
        <v>301</v>
      </c>
      <c r="C9" s="115" t="s">
        <v>301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2026-07-26T02:11:12Z</dcterms:created>
  <dc:creator>openpyxl</dc:creator>
  <dc:description/>
  <dc:language>en-US</dc:language>
  <cp:lastModifiedBy/>
  <dcterms:modified xsi:type="dcterms:W3CDTF">2026-08-03T04:08:38Z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